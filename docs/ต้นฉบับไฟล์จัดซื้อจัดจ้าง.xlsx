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cdti365-my.sharepoint.com/personal/oratai_kru_ms_cdti_ac_th/Documents/แบ่งส่วนงาน/003 งานพัสดุ/รวมเกี่ยวกับพัสดุ/"/>
    </mc:Choice>
  </mc:AlternateContent>
  <xr:revisionPtr revIDLastSave="1895" documentId="13_ncr:1_{244DD12F-E67C-4D67-9170-EF7CE4EC6F10}" xr6:coauthVersionLast="47" xr6:coauthVersionMax="47" xr10:uidLastSave="{5A71D059-F65A-4C24-90B3-1A034561DF99}"/>
  <bookViews>
    <workbookView xWindow="28680" yWindow="-120" windowWidth="24240" windowHeight="13020" tabRatio="326" firstSheet="2" activeTab="3" xr2:uid="{FB6B606E-08C9-4F57-A484-C0C9D4357886}"/>
  </bookViews>
  <sheets>
    <sheet name="DDT_วัสดุ" sheetId="104" r:id="rId1"/>
    <sheet name="วัสดุการสอน" sheetId="103" r:id="rId2"/>
    <sheet name="วัสดุเก็บงาน นศ." sheetId="102" r:id="rId3"/>
    <sheet name="วัสดุฝึกนักศึกษา_ฟิสิกส์" sheetId="101" r:id="rId4"/>
    <sheet name="เช่ารถตู้ จ.สิงห์บุรี" sheetId="99" r:id="rId5"/>
    <sheet name="วัสดุ เกี่ยวกับ AI" sheetId="98" r:id="rId6"/>
    <sheet name="วัสดุ (ไฟฟ้า)" sheetId="97" r:id="rId7"/>
    <sheet name="เช่ารถบัส_จ.เพชรบุรี" sheetId="96" r:id="rId8"/>
    <sheet name="วัสดุฝึกนักศึกษา วค." sheetId="95" r:id="rId9"/>
    <sheet name="DDT_วัสดุการศึกษา" sheetId="94" r:id="rId10"/>
    <sheet name="เช่ารถตู้_บ้านโซวเฮงไถ่" sheetId="93" r:id="rId11"/>
    <sheet name="เช่ารถตู้_กรมส่งเสริมวัฒนธรรม" sheetId="92" r:id="rId12"/>
    <sheet name="เช่ารถบัส+รถตู้_วค._ต้นนา" sheetId="91" r:id="rId13"/>
    <sheet name="เช่ารถบัส_เตรียมความพร้อม 1-69" sheetId="90" r:id="rId14"/>
    <sheet name="DDT แสดงผลงาน (2)" sheetId="89" r:id="rId15"/>
    <sheet name="DDT แสดงผลงาน" sheetId="88" r:id="rId16"/>
    <sheet name="วัสดุฝึกนักศึกษา" sheetId="87" r:id="rId17"/>
    <sheet name="จ้างเหมาติดตั้งปูพรม" sheetId="86" r:id="rId18"/>
    <sheet name="จ้างพิมพ์ผ้า" sheetId="85" r:id="rId19"/>
    <sheet name="เช่ารถขนของ Central Word" sheetId="83" r:id="rId20"/>
    <sheet name="เช่ารถตู้ สจด.-ศูนย์ราชการฯ C" sheetId="82" r:id="rId21"/>
    <sheet name="HDD" sheetId="81" r:id="rId22"/>
    <sheet name="วัสดุ_วค.69_IOT" sheetId="80" r:id="rId23"/>
    <sheet name="วัสดุ_วค.68 (2)" sheetId="79" r:id="rId24"/>
    <sheet name="วัสดุ_วค.68" sheetId="78" r:id="rId25"/>
    <sheet name="เช่ารถตู้ สจด.-จปร." sheetId="77" r:id="rId26"/>
    <sheet name="จ้างทำชุดโครงสร้างบูธ" sheetId="84" r:id="rId27"/>
    <sheet name="TESA 2025" sheetId="76" r:id="rId28"/>
    <sheet name="OpenHouse_CPE" sheetId="75" r:id="rId29"/>
    <sheet name="OpenHouse_DDT" sheetId="74" r:id="rId30"/>
    <sheet name="LoRaWAN" sheetId="73" r:id="rId31"/>
    <sheet name="Gateway5000" sheetId="72" r:id="rId32"/>
    <sheet name="เช่ารถตู้ กทม.-เพชรบุรี" sheetId="71" r:id="rId33"/>
    <sheet name="IoT_V.2" sheetId="70" r:id="rId34"/>
    <sheet name="วัสดุปรับปรุง หอประชุม ต.ทองเอน" sheetId="69" r:id="rId35"/>
    <sheet name="เช่ารถตู้ สิงห์บุรี" sheetId="68" r:id="rId36"/>
    <sheet name="IoT_1_68" sheetId="67" r:id="rId37"/>
    <sheet name="Network_1_68" sheetId="66" r:id="rId38"/>
    <sheet name="เช่ารถบัส_เตรียมความพร้อม" sheetId="65" r:id="rId39"/>
    <sheet name="วัสดุ_1_68_2" sheetId="64" r:id="rId40"/>
    <sheet name="วัสดุ_1_68_1" sheetId="63" r:id="rId41"/>
    <sheet name="อนันตโชติ" sheetId="61" r:id="rId42"/>
    <sheet name="วัสดุ_CPE" sheetId="60" r:id="rId43"/>
    <sheet name="ชมรม หุ่นยนต์" sheetId="59" r:id="rId44"/>
    <sheet name="คิดเลข" sheetId="58" r:id="rId45"/>
    <sheet name="วัสดุฝึก_อบ." sheetId="57" r:id="rId46"/>
    <sheet name="วัสดพิตรพิบูล" sheetId="56" r:id="rId47"/>
    <sheet name="วัสดุอรพรรณ" sheetId="55" r:id="rId48"/>
    <sheet name="จ้างพิมพ์งาน-ประกวด (2)" sheetId="54" r:id="rId49"/>
    <sheet name="วัสดุฝึกประกวด" sheetId="53" r:id="rId50"/>
    <sheet name="วัสดุ อบ." sheetId="52" r:id="rId51"/>
    <sheet name="ธีรภัทร" sheetId="51" r:id="rId52"/>
    <sheet name="ฐิติภัทร์" sheetId="50" r:id="rId53"/>
    <sheet name="i350" sheetId="49" r:id="rId54"/>
    <sheet name="Rasberry Pi (2)" sheetId="48" r:id="rId55"/>
    <sheet name="เช่ารถตู้ TESA" sheetId="47" r:id="rId56"/>
    <sheet name="วัสดุ CPE (3)" sheetId="45" r:id="rId57"/>
    <sheet name="เช่ารถบัส_เปิดโลกทัศน์" sheetId="44" r:id="rId58"/>
    <sheet name="โต๊ะแล็ป (3)" sheetId="46" r:id="rId59"/>
    <sheet name="โต๊ะแล็ป (2)" sheetId="43" r:id="rId60"/>
    <sheet name="โต๊ะแล็ป" sheetId="42" r:id="rId61"/>
    <sheet name="วัสดุ IT (2)" sheetId="41" r:id="rId62"/>
    <sheet name="วัสดุ IT" sheetId="40" r:id="rId63"/>
    <sheet name="กาวลาเท็กซ์" sheetId="39" r:id="rId64"/>
    <sheet name="Rasberry Pi" sheetId="38" r:id="rId65"/>
    <sheet name="อะซิโครนัส" sheetId="37" r:id="rId66"/>
    <sheet name="เตรียมความพร้อม_DDT" sheetId="36" r:id="rId67"/>
    <sheet name="เช่ารถตู้_สิงห์บุรี (2)" sheetId="35" r:id="rId68"/>
    <sheet name="ทองเอน 2" sheetId="34" r:id="rId69"/>
    <sheet name="ทองเอน 1" sheetId="33" r:id="rId70"/>
    <sheet name="DDT_2567" sheetId="32" r:id="rId71"/>
    <sheet name="WAN Interface" sheetId="31" r:id="rId72"/>
    <sheet name="เช่ารถตู้_สิงห์บุรี" sheetId="30" r:id="rId73"/>
    <sheet name="ไม้ก๊อก 2" sheetId="29" r:id="rId74"/>
    <sheet name="เช่ารถบัส_สัมมนาวิศวกรรมคอม (2)" sheetId="27" r:id="rId75"/>
    <sheet name="รายวิชา สถิติคณิตศาสตร์" sheetId="26" r:id="rId76"/>
    <sheet name="กิติตคุณ_2" sheetId="25" r:id="rId77"/>
    <sheet name="เช่ารถบัส_สัมมนาวิศวกรรมคอมพิวเ" sheetId="24" r:id="rId78"/>
    <sheet name="วัสดุการศึกษา 2-66_1" sheetId="23" r:id="rId79"/>
    <sheet name="ห้อง Lab Computer" sheetId="22" r:id="rId80"/>
    <sheet name="วัสดุการเรียนการสอน_วค.-2" sheetId="21" r:id="rId81"/>
    <sheet name="วัสดุการเรียนการสอน_วค.-1" sheetId="20" r:id="rId82"/>
    <sheet name="ครุภัณฑ์จัดเก็บอุปกรณ์" sheetId="19" r:id="rId83"/>
    <sheet name="วัสดุ_ออบแบบ" sheetId="18" r:id="rId84"/>
    <sheet name="เช่ารถบัส_รัตนโกสินทร์" sheetId="17" r:id="rId85"/>
    <sheet name="แผงวงจร" sheetId="16" r:id="rId86"/>
    <sheet name="37 Sensor" sheetId="15" r:id="rId87"/>
    <sheet name="Access Point" sheetId="14" r:id="rId88"/>
    <sheet name="cucamber" sheetId="13" r:id="rId89"/>
    <sheet name="HDMI" sheetId="11" r:id="rId90"/>
    <sheet name="จ้างทำแผ่นพับ" sheetId="10" r:id="rId91"/>
    <sheet name="จ้างเหมาการจัดการเรียนการสอนฯ" sheetId="9" r:id="rId92"/>
    <sheet name="วัสดุอุปกรณ์_IT" sheetId="8" r:id="rId93"/>
    <sheet name="วัสดุการศึกษา_หุ่นปั้น" sheetId="7" r:id="rId94"/>
    <sheet name="เช่ารถบัส" sheetId="6" r:id="rId95"/>
    <sheet name="เม้าส์" sheetId="5" r:id="rId96"/>
    <sheet name="อบรมความปลอดภัยไซเบอร์" sheetId="3" r:id="rId97"/>
    <sheet name="ลอจิก" sheetId="2" r:id="rId98"/>
    <sheet name="ต้นฉบับ" sheetId="1" r:id="rId9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 i="104" l="1"/>
  <c r="E5" i="104"/>
  <c r="E5" i="103"/>
  <c r="E14" i="103" s="1"/>
  <c r="E8" i="102"/>
  <c r="E7" i="102"/>
  <c r="E6" i="102"/>
  <c r="E5" i="102"/>
  <c r="E8" i="101"/>
  <c r="E7" i="101"/>
  <c r="E6" i="101"/>
  <c r="E14" i="101" s="1"/>
  <c r="E5" i="101"/>
  <c r="E34" i="98"/>
  <c r="E33" i="98"/>
  <c r="E32" i="98"/>
  <c r="E31" i="98"/>
  <c r="E30" i="98"/>
  <c r="E29" i="98"/>
  <c r="E28" i="98"/>
  <c r="E27" i="98"/>
  <c r="E26" i="98"/>
  <c r="E25" i="98"/>
  <c r="E24" i="98"/>
  <c r="E23" i="98"/>
  <c r="E22" i="98"/>
  <c r="E21" i="98"/>
  <c r="E20" i="98"/>
  <c r="E19" i="98"/>
  <c r="E18" i="98"/>
  <c r="E17" i="98"/>
  <c r="E16" i="98"/>
  <c r="E15" i="98"/>
  <c r="E10" i="99"/>
  <c r="E5" i="99"/>
  <c r="E14" i="98"/>
  <c r="E13" i="98"/>
  <c r="E12" i="98"/>
  <c r="E11" i="98"/>
  <c r="E10" i="98"/>
  <c r="E9" i="98"/>
  <c r="E8" i="98"/>
  <c r="E7" i="98"/>
  <c r="E6" i="98"/>
  <c r="E5" i="98"/>
  <c r="E20" i="97"/>
  <c r="E19" i="97"/>
  <c r="E18" i="97"/>
  <c r="E17" i="97"/>
  <c r="E16" i="97"/>
  <c r="E15" i="97"/>
  <c r="E14" i="97"/>
  <c r="E13" i="97"/>
  <c r="E12" i="97"/>
  <c r="E11" i="97"/>
  <c r="E10" i="97"/>
  <c r="E9" i="97"/>
  <c r="E8" i="97"/>
  <c r="E7" i="97"/>
  <c r="E22" i="97" s="1"/>
  <c r="E6" i="97"/>
  <c r="E5" i="97"/>
  <c r="E5" i="96"/>
  <c r="E23" i="96" s="1"/>
  <c r="E14" i="95"/>
  <c r="E13" i="95"/>
  <c r="E12" i="95"/>
  <c r="E11" i="95"/>
  <c r="E10" i="95"/>
  <c r="E9" i="95"/>
  <c r="E8" i="95"/>
  <c r="E7" i="95"/>
  <c r="E6" i="95"/>
  <c r="E5" i="95"/>
  <c r="C24" i="94"/>
  <c r="E23" i="94"/>
  <c r="E22" i="94"/>
  <c r="E13" i="94"/>
  <c r="E12" i="94"/>
  <c r="E11" i="94"/>
  <c r="E10" i="94"/>
  <c r="E9" i="94"/>
  <c r="E8" i="94"/>
  <c r="E7" i="94"/>
  <c r="E6" i="94"/>
  <c r="E5" i="94"/>
  <c r="E5" i="93"/>
  <c r="E23" i="93" s="1"/>
  <c r="E5" i="92"/>
  <c r="E23" i="92" s="1"/>
  <c r="E10" i="91"/>
  <c r="E5" i="91"/>
  <c r="E5" i="90"/>
  <c r="E23" i="90" s="1"/>
  <c r="E43" i="88"/>
  <c r="C45" i="88"/>
  <c r="E44" i="88"/>
  <c r="E42" i="88"/>
  <c r="E5" i="89"/>
  <c r="E18" i="89"/>
  <c r="E41" i="88"/>
  <c r="E37" i="88"/>
  <c r="E40" i="88"/>
  <c r="E39" i="88"/>
  <c r="E38" i="88"/>
  <c r="E36" i="88"/>
  <c r="E35" i="88"/>
  <c r="E33" i="88"/>
  <c r="E17" i="88"/>
  <c r="E34" i="88"/>
  <c r="E32" i="88"/>
  <c r="E31" i="88"/>
  <c r="E30" i="88"/>
  <c r="E29" i="88"/>
  <c r="E28" i="88"/>
  <c r="E27" i="88"/>
  <c r="E26" i="88"/>
  <c r="E25" i="88"/>
  <c r="E24" i="88"/>
  <c r="E23" i="88"/>
  <c r="E22" i="88"/>
  <c r="E21" i="88"/>
  <c r="E20" i="88"/>
  <c r="E19" i="88"/>
  <c r="E18" i="88"/>
  <c r="E16" i="88"/>
  <c r="E15" i="88"/>
  <c r="E14" i="88"/>
  <c r="E13" i="88"/>
  <c r="E12" i="88"/>
  <c r="E11" i="88"/>
  <c r="E10" i="88"/>
  <c r="E9" i="88"/>
  <c r="E8" i="88"/>
  <c r="E7" i="88"/>
  <c r="E6" i="88"/>
  <c r="E5" i="88"/>
  <c r="E9" i="87"/>
  <c r="E10" i="87"/>
  <c r="E11" i="87"/>
  <c r="E12" i="87"/>
  <c r="E13" i="87"/>
  <c r="E14" i="87"/>
  <c r="E15" i="87"/>
  <c r="E16" i="87"/>
  <c r="E17" i="87"/>
  <c r="E18" i="87"/>
  <c r="E19" i="87"/>
  <c r="E20" i="87"/>
  <c r="E21" i="87"/>
  <c r="E22" i="87"/>
  <c r="E23" i="87"/>
  <c r="E24" i="87"/>
  <c r="E33" i="87"/>
  <c r="E32" i="87"/>
  <c r="E31" i="87"/>
  <c r="E30" i="87"/>
  <c r="E29" i="87"/>
  <c r="E28" i="87"/>
  <c r="E27" i="87"/>
  <c r="E26" i="87"/>
  <c r="E25" i="87"/>
  <c r="E8" i="87"/>
  <c r="E7" i="87"/>
  <c r="E6" i="87"/>
  <c r="E5" i="87"/>
  <c r="E5" i="86"/>
  <c r="E22" i="86" s="1"/>
  <c r="E5" i="85"/>
  <c r="E22" i="85" s="1"/>
  <c r="E23" i="85" s="1"/>
  <c r="E5" i="84"/>
  <c r="E9" i="83"/>
  <c r="E5" i="83"/>
  <c r="E22" i="83"/>
  <c r="E22" i="82"/>
  <c r="E23" i="82" s="1"/>
  <c r="E5" i="81"/>
  <c r="E17" i="81" s="1"/>
  <c r="E15" i="81" s="1"/>
  <c r="E21" i="80"/>
  <c r="E20" i="80"/>
  <c r="C24" i="80" s="1"/>
  <c r="E22" i="80"/>
  <c r="E5" i="80"/>
  <c r="E6" i="80"/>
  <c r="E7" i="80"/>
  <c r="E8" i="80"/>
  <c r="E9" i="80"/>
  <c r="E10" i="80"/>
  <c r="E11" i="80"/>
  <c r="E12" i="80"/>
  <c r="E13" i="80"/>
  <c r="E14" i="80"/>
  <c r="E16" i="80"/>
  <c r="E17" i="80"/>
  <c r="E18" i="80"/>
  <c r="E15" i="80"/>
  <c r="E5" i="79"/>
  <c r="E18" i="79" s="1"/>
  <c r="E9" i="78"/>
  <c r="E8" i="78"/>
  <c r="E7" i="78"/>
  <c r="E6" i="78"/>
  <c r="E5" i="78"/>
  <c r="E22" i="77"/>
  <c r="E6" i="75"/>
  <c r="E7" i="75"/>
  <c r="E8" i="75"/>
  <c r="E9" i="75"/>
  <c r="E10" i="75"/>
  <c r="E11" i="75"/>
  <c r="E6" i="76"/>
  <c r="E7" i="76"/>
  <c r="E8" i="76"/>
  <c r="E9" i="76"/>
  <c r="E5" i="76"/>
  <c r="E5" i="75"/>
  <c r="E12" i="74"/>
  <c r="E6" i="73"/>
  <c r="E5" i="73"/>
  <c r="E12" i="73" s="1"/>
  <c r="E6" i="72"/>
  <c r="E5" i="72"/>
  <c r="E12" i="72" s="1"/>
  <c r="E7" i="70"/>
  <c r="E8" i="70"/>
  <c r="E9" i="70"/>
  <c r="E17" i="104" l="1"/>
  <c r="E18" i="104"/>
  <c r="E19" i="104" s="1"/>
  <c r="C20" i="104" s="1"/>
  <c r="E15" i="103"/>
  <c r="E16" i="103" s="1"/>
  <c r="C17" i="103" s="1"/>
  <c r="E14" i="102"/>
  <c r="E15" i="102"/>
  <c r="E16" i="102" s="1"/>
  <c r="C17" i="102" s="1"/>
  <c r="E15" i="101"/>
  <c r="E16" i="101" s="1"/>
  <c r="C17" i="101" s="1"/>
  <c r="E40" i="98"/>
  <c r="E41" i="98" s="1"/>
  <c r="E42" i="98" s="1"/>
  <c r="C43" i="98" s="1"/>
  <c r="E23" i="99"/>
  <c r="E24" i="99" s="1"/>
  <c r="E25" i="99" s="1"/>
  <c r="C27" i="99" s="1"/>
  <c r="E23" i="97"/>
  <c r="E24" i="97" s="1"/>
  <c r="C25" i="97" s="1"/>
  <c r="E24" i="96"/>
  <c r="E25" i="96" s="1"/>
  <c r="C27" i="96" s="1"/>
  <c r="E21" i="94"/>
  <c r="E24" i="93"/>
  <c r="E25" i="93" s="1"/>
  <c r="C27" i="93" s="1"/>
  <c r="E24" i="92"/>
  <c r="E25" i="92" s="1"/>
  <c r="C27" i="92" s="1"/>
  <c r="E23" i="91"/>
  <c r="E24" i="91" s="1"/>
  <c r="E25" i="91" s="1"/>
  <c r="C27" i="91" s="1"/>
  <c r="E24" i="90"/>
  <c r="E25" i="90" s="1"/>
  <c r="C27" i="90" s="1"/>
  <c r="E19" i="89"/>
  <c r="E20" i="89" s="1"/>
  <c r="C21" i="89" s="1"/>
  <c r="E34" i="87"/>
  <c r="E35" i="87" s="1"/>
  <c r="E36" i="87" s="1"/>
  <c r="C37" i="87" s="1"/>
  <c r="E23" i="86"/>
  <c r="E24" i="86" s="1"/>
  <c r="C26" i="86" s="1"/>
  <c r="E24" i="85"/>
  <c r="C26" i="85" s="1"/>
  <c r="E22" i="84"/>
  <c r="E23" i="84" s="1"/>
  <c r="E24" i="84" s="1"/>
  <c r="C26" i="84" s="1"/>
  <c r="E23" i="83"/>
  <c r="E24" i="83" s="1"/>
  <c r="C26" i="83" s="1"/>
  <c r="E24" i="82"/>
  <c r="C26" i="82" s="1"/>
  <c r="C19" i="81"/>
  <c r="E16" i="81"/>
  <c r="E19" i="79"/>
  <c r="E20" i="79" s="1"/>
  <c r="C22" i="79" s="1"/>
  <c r="E18" i="78"/>
  <c r="E19" i="78" s="1"/>
  <c r="E20" i="78" s="1"/>
  <c r="C22" i="78" s="1"/>
  <c r="E23" i="77"/>
  <c r="E24" i="77" s="1"/>
  <c r="C26" i="77" s="1"/>
  <c r="E16" i="75"/>
  <c r="E17" i="75" s="1"/>
  <c r="E18" i="76"/>
  <c r="E18" i="75"/>
  <c r="C20" i="75" s="1"/>
  <c r="E14" i="74"/>
  <c r="C16" i="74" s="1"/>
  <c r="E13" i="73"/>
  <c r="E14" i="73"/>
  <c r="C16" i="73" s="1"/>
  <c r="E13" i="72"/>
  <c r="E14" i="72"/>
  <c r="C16" i="72" s="1"/>
  <c r="E5" i="71"/>
  <c r="E23" i="71" s="1"/>
  <c r="E6" i="70"/>
  <c r="E5" i="70"/>
  <c r="E5" i="69"/>
  <c r="E23" i="69" s="1"/>
  <c r="E5" i="68"/>
  <c r="E23" i="68" s="1"/>
  <c r="E11" i="67"/>
  <c r="E10" i="67"/>
  <c r="E9" i="67"/>
  <c r="E8" i="67"/>
  <c r="E7" i="67"/>
  <c r="E6" i="67"/>
  <c r="E5" i="67"/>
  <c r="E30" i="66"/>
  <c r="E29" i="66"/>
  <c r="E28" i="66"/>
  <c r="E27" i="66"/>
  <c r="E26" i="66"/>
  <c r="E25" i="66"/>
  <c r="E24" i="66"/>
  <c r="E22" i="66"/>
  <c r="E21" i="66"/>
  <c r="E20" i="66"/>
  <c r="E19" i="66"/>
  <c r="E18" i="66"/>
  <c r="E17" i="66"/>
  <c r="E16" i="66"/>
  <c r="E32" i="66"/>
  <c r="E31" i="66"/>
  <c r="E23" i="66"/>
  <c r="E15" i="66"/>
  <c r="E14" i="66"/>
  <c r="E13" i="66"/>
  <c r="E12" i="66"/>
  <c r="E11" i="66"/>
  <c r="E10" i="66"/>
  <c r="E9" i="66"/>
  <c r="E8" i="66"/>
  <c r="E7" i="66"/>
  <c r="E6" i="66"/>
  <c r="E5" i="66"/>
  <c r="E23" i="65"/>
  <c r="E5" i="65"/>
  <c r="E5" i="64"/>
  <c r="E6" i="64"/>
  <c r="E7" i="64"/>
  <c r="E8" i="64"/>
  <c r="E9" i="64"/>
  <c r="E10" i="64"/>
  <c r="E11" i="64"/>
  <c r="E12" i="64"/>
  <c r="E13" i="64"/>
  <c r="E14" i="64"/>
  <c r="E15" i="64"/>
  <c r="E16" i="64"/>
  <c r="E17" i="64"/>
  <c r="E18" i="64"/>
  <c r="E19" i="64"/>
  <c r="E20" i="64"/>
  <c r="E21" i="64"/>
  <c r="E22" i="64"/>
  <c r="E6" i="63"/>
  <c r="E7" i="63"/>
  <c r="E8" i="63"/>
  <c r="E9" i="63"/>
  <c r="E10" i="63"/>
  <c r="E11" i="63"/>
  <c r="E12" i="63"/>
  <c r="E13" i="63"/>
  <c r="E5" i="63"/>
  <c r="E7" i="61"/>
  <c r="E8" i="61"/>
  <c r="E9" i="61"/>
  <c r="E10" i="61"/>
  <c r="E6" i="61"/>
  <c r="E5" i="61"/>
  <c r="E22" i="60"/>
  <c r="E21" i="60"/>
  <c r="E20" i="60"/>
  <c r="E19" i="60"/>
  <c r="E18" i="60"/>
  <c r="E17" i="60"/>
  <c r="E24" i="60"/>
  <c r="E23" i="60"/>
  <c r="E16" i="60"/>
  <c r="E15" i="60"/>
  <c r="E14" i="60"/>
  <c r="E13" i="60"/>
  <c r="E12" i="60"/>
  <c r="E11" i="60"/>
  <c r="E10" i="60"/>
  <c r="E9" i="60"/>
  <c r="E8" i="60"/>
  <c r="E7" i="60"/>
  <c r="E6" i="60"/>
  <c r="E5" i="60"/>
  <c r="E6" i="59"/>
  <c r="E7" i="59"/>
  <c r="E8" i="59"/>
  <c r="E9" i="59"/>
  <c r="E10" i="59"/>
  <c r="E11" i="59"/>
  <c r="E12" i="59"/>
  <c r="E13" i="59"/>
  <c r="E14" i="59"/>
  <c r="E15" i="59"/>
  <c r="E16" i="59"/>
  <c r="E17" i="59"/>
  <c r="E18" i="59"/>
  <c r="E5" i="59"/>
  <c r="E5" i="58"/>
  <c r="E18" i="58" s="1"/>
  <c r="E21" i="57"/>
  <c r="E20" i="57"/>
  <c r="E19" i="57"/>
  <c r="E18" i="57"/>
  <c r="E17" i="57"/>
  <c r="E16" i="57"/>
  <c r="E15" i="57"/>
  <c r="E14" i="57"/>
  <c r="E13" i="57"/>
  <c r="E12" i="57"/>
  <c r="E11" i="57"/>
  <c r="E10" i="57"/>
  <c r="E9" i="57"/>
  <c r="E8" i="57"/>
  <c r="E7" i="57"/>
  <c r="E6" i="57"/>
  <c r="E5" i="57"/>
  <c r="E12" i="56"/>
  <c r="E11" i="56"/>
  <c r="E10" i="56"/>
  <c r="E9" i="56"/>
  <c r="E8" i="56"/>
  <c r="E7" i="56"/>
  <c r="E6" i="56"/>
  <c r="E5" i="56"/>
  <c r="E15" i="56" s="1"/>
  <c r="E12" i="55"/>
  <c r="E11" i="55"/>
  <c r="E10" i="55"/>
  <c r="E9" i="55"/>
  <c r="E8" i="55"/>
  <c r="E7" i="55"/>
  <c r="E6" i="55"/>
  <c r="E5" i="55"/>
  <c r="E5" i="54"/>
  <c r="E20" i="54" s="1"/>
  <c r="E6" i="53"/>
  <c r="E7" i="53"/>
  <c r="E8" i="53"/>
  <c r="E9" i="53"/>
  <c r="E10" i="53"/>
  <c r="E11" i="53"/>
  <c r="E5" i="53"/>
  <c r="E5" i="52"/>
  <c r="E20" i="52" s="1"/>
  <c r="E8" i="51"/>
  <c r="E7" i="51"/>
  <c r="E6" i="51"/>
  <c r="E5" i="51"/>
  <c r="E6" i="50"/>
  <c r="E7" i="50"/>
  <c r="E8" i="50"/>
  <c r="E9" i="50"/>
  <c r="E10" i="50"/>
  <c r="E11" i="50"/>
  <c r="E12" i="50"/>
  <c r="E13" i="50"/>
  <c r="E5" i="50"/>
  <c r="E5" i="49"/>
  <c r="E15" i="49" s="1"/>
  <c r="E9" i="48"/>
  <c r="E8" i="48"/>
  <c r="E7" i="48"/>
  <c r="E6" i="48"/>
  <c r="E5" i="48"/>
  <c r="E5" i="47"/>
  <c r="E5" i="46"/>
  <c r="E17" i="46" s="1"/>
  <c r="E18" i="46" s="1"/>
  <c r="E19" i="46" s="1"/>
  <c r="C21" i="46" s="1"/>
  <c r="E6" i="45"/>
  <c r="E7" i="45"/>
  <c r="E8" i="45"/>
  <c r="E9" i="45"/>
  <c r="E5" i="45"/>
  <c r="E9" i="44"/>
  <c r="E5" i="44"/>
  <c r="E5" i="43"/>
  <c r="E21" i="43" s="1"/>
  <c r="E16" i="42"/>
  <c r="E5" i="42"/>
  <c r="E5" i="41"/>
  <c r="E15" i="41" s="1"/>
  <c r="E6" i="40"/>
  <c r="E7" i="40"/>
  <c r="E8" i="40"/>
  <c r="E9" i="40"/>
  <c r="E10" i="40"/>
  <c r="E5" i="40"/>
  <c r="E5" i="39"/>
  <c r="E15" i="39" s="1"/>
  <c r="E6" i="38"/>
  <c r="E7" i="38"/>
  <c r="E8" i="38"/>
  <c r="E9" i="38"/>
  <c r="E5" i="38"/>
  <c r="E5" i="37"/>
  <c r="E15" i="37" s="1"/>
  <c r="E24" i="36"/>
  <c r="E6" i="36"/>
  <c r="E7" i="36"/>
  <c r="E8" i="36"/>
  <c r="E9" i="36"/>
  <c r="E5" i="36"/>
  <c r="E23" i="35"/>
  <c r="E5" i="35"/>
  <c r="E18" i="34"/>
  <c r="E17" i="34"/>
  <c r="E16" i="34"/>
  <c r="E15" i="34"/>
  <c r="E14" i="34"/>
  <c r="E13" i="34"/>
  <c r="E12" i="34"/>
  <c r="E11" i="34"/>
  <c r="E10" i="34"/>
  <c r="E9" i="34"/>
  <c r="E8" i="34"/>
  <c r="E7" i="34"/>
  <c r="E6" i="34"/>
  <c r="E5" i="34"/>
  <c r="E22" i="33"/>
  <c r="E23" i="33"/>
  <c r="E24" i="33"/>
  <c r="E25" i="33"/>
  <c r="E6" i="33"/>
  <c r="E21" i="33"/>
  <c r="E20" i="33"/>
  <c r="E19" i="33"/>
  <c r="E18" i="33"/>
  <c r="E17" i="33"/>
  <c r="E16" i="33"/>
  <c r="E15" i="33"/>
  <c r="E14" i="33"/>
  <c r="E13" i="33"/>
  <c r="E12" i="33"/>
  <c r="E11" i="33"/>
  <c r="E10" i="33"/>
  <c r="E9" i="33"/>
  <c r="E8" i="33"/>
  <c r="E7" i="33"/>
  <c r="E5" i="33"/>
  <c r="E7" i="32"/>
  <c r="E8" i="32"/>
  <c r="E9" i="32"/>
  <c r="E10" i="32"/>
  <c r="E11" i="32"/>
  <c r="E12" i="32"/>
  <c r="E13" i="32"/>
  <c r="E14" i="32"/>
  <c r="E15" i="32"/>
  <c r="E16" i="32"/>
  <c r="E17" i="32"/>
  <c r="E18" i="32"/>
  <c r="E19" i="32"/>
  <c r="E20" i="32"/>
  <c r="E21" i="32"/>
  <c r="E22" i="32"/>
  <c r="E23" i="32"/>
  <c r="E5" i="32"/>
  <c r="E5" i="31"/>
  <c r="E5" i="30"/>
  <c r="E23" i="30" s="1"/>
  <c r="E32" i="29"/>
  <c r="E7" i="29"/>
  <c r="E6" i="29"/>
  <c r="E5" i="29"/>
  <c r="E31" i="29" s="1"/>
  <c r="E7" i="25"/>
  <c r="E8" i="25"/>
  <c r="E9" i="25"/>
  <c r="E10" i="25"/>
  <c r="E12" i="25" s="1"/>
  <c r="E5" i="27"/>
  <c r="E24" i="27" s="1"/>
  <c r="E25" i="27" s="1"/>
  <c r="E13" i="26"/>
  <c r="E14" i="26"/>
  <c r="E15" i="26"/>
  <c r="E16" i="26"/>
  <c r="E17" i="26"/>
  <c r="E18" i="26"/>
  <c r="E19" i="26"/>
  <c r="E20" i="26"/>
  <c r="E21" i="26"/>
  <c r="E22" i="26"/>
  <c r="E23" i="26"/>
  <c r="E24" i="26"/>
  <c r="E25" i="26"/>
  <c r="E26" i="26"/>
  <c r="E27" i="26"/>
  <c r="E28" i="26"/>
  <c r="E29" i="26"/>
  <c r="E30" i="26"/>
  <c r="E21" i="95" l="1"/>
  <c r="C22" i="95" s="1"/>
  <c r="E19" i="76"/>
  <c r="E20" i="76" s="1"/>
  <c r="C22" i="76" s="1"/>
  <c r="E24" i="71"/>
  <c r="E25" i="71" s="1"/>
  <c r="C27" i="71" s="1"/>
  <c r="E12" i="70"/>
  <c r="E13" i="70" s="1"/>
  <c r="E14" i="70" s="1"/>
  <c r="C16" i="70" s="1"/>
  <c r="E24" i="69"/>
  <c r="E25" i="69" s="1"/>
  <c r="C27" i="69" s="1"/>
  <c r="E24" i="68"/>
  <c r="E25" i="68" s="1"/>
  <c r="C27" i="68" s="1"/>
  <c r="E12" i="67"/>
  <c r="E13" i="67" s="1"/>
  <c r="E14" i="67" s="1"/>
  <c r="C16" i="67" s="1"/>
  <c r="E33" i="66"/>
  <c r="E34" i="66" s="1"/>
  <c r="E35" i="66" s="1"/>
  <c r="C37" i="66" s="1"/>
  <c r="E25" i="65"/>
  <c r="C27" i="65" s="1"/>
  <c r="E24" i="65"/>
  <c r="E23" i="64"/>
  <c r="E24" i="64" s="1"/>
  <c r="E25" i="64" s="1"/>
  <c r="C27" i="64" s="1"/>
  <c r="E16" i="63"/>
  <c r="E17" i="63" s="1"/>
  <c r="E18" i="63" s="1"/>
  <c r="C20" i="63" s="1"/>
  <c r="E18" i="61"/>
  <c r="E19" i="61"/>
  <c r="E20" i="61" s="1"/>
  <c r="C22" i="61" s="1"/>
  <c r="E25" i="60"/>
  <c r="E26" i="60" s="1"/>
  <c r="E19" i="59"/>
  <c r="E20" i="59" s="1"/>
  <c r="E21" i="59" s="1"/>
  <c r="C23" i="59" s="1"/>
  <c r="E19" i="58"/>
  <c r="E20" i="58" s="1"/>
  <c r="C22" i="58" s="1"/>
  <c r="E22" i="57"/>
  <c r="E23" i="57" s="1"/>
  <c r="E16" i="56"/>
  <c r="E17" i="56" s="1"/>
  <c r="C19" i="56" s="1"/>
  <c r="E15" i="55"/>
  <c r="E16" i="55" s="1"/>
  <c r="E17" i="55" s="1"/>
  <c r="C19" i="55" s="1"/>
  <c r="E22" i="54"/>
  <c r="C24" i="54" s="1"/>
  <c r="E20" i="53"/>
  <c r="E21" i="53" s="1"/>
  <c r="E22" i="53" s="1"/>
  <c r="C24" i="53" s="1"/>
  <c r="E21" i="52"/>
  <c r="E22" i="52" s="1"/>
  <c r="C24" i="52" s="1"/>
  <c r="E13" i="51"/>
  <c r="E14" i="51" s="1"/>
  <c r="E15" i="51" s="1"/>
  <c r="C17" i="51" s="1"/>
  <c r="E15" i="50"/>
  <c r="E16" i="50"/>
  <c r="E17" i="50" s="1"/>
  <c r="C19" i="50" s="1"/>
  <c r="E16" i="49"/>
  <c r="E17" i="49" s="1"/>
  <c r="C19" i="49" s="1"/>
  <c r="E23" i="47"/>
  <c r="E15" i="48"/>
  <c r="E16" i="48" s="1"/>
  <c r="E17" i="48" s="1"/>
  <c r="C19" i="48" s="1"/>
  <c r="E24" i="47"/>
  <c r="E25" i="47" s="1"/>
  <c r="C27" i="47" s="1"/>
  <c r="E15" i="45"/>
  <c r="E16" i="45" s="1"/>
  <c r="E17" i="45" s="1"/>
  <c r="C19" i="45" s="1"/>
  <c r="E23" i="44"/>
  <c r="E24" i="44" s="1"/>
  <c r="E25" i="44" s="1"/>
  <c r="C27" i="44" s="1"/>
  <c r="E22" i="43"/>
  <c r="E23" i="43" s="1"/>
  <c r="C25" i="43" s="1"/>
  <c r="E21" i="42"/>
  <c r="E22" i="42" s="1"/>
  <c r="E23" i="42" s="1"/>
  <c r="C25" i="42" s="1"/>
  <c r="E16" i="41"/>
  <c r="E17" i="41" s="1"/>
  <c r="C19" i="41" s="1"/>
  <c r="E15" i="40"/>
  <c r="E16" i="40" s="1"/>
  <c r="E17" i="40" s="1"/>
  <c r="C19" i="40" s="1"/>
  <c r="E16" i="39"/>
  <c r="E17" i="39" s="1"/>
  <c r="C19" i="39" s="1"/>
  <c r="E15" i="38"/>
  <c r="E16" i="38" s="1"/>
  <c r="E16" i="37"/>
  <c r="E17" i="37" s="1"/>
  <c r="C19" i="37" s="1"/>
  <c r="E23" i="36"/>
  <c r="E25" i="36" s="1"/>
  <c r="C27" i="36" s="1"/>
  <c r="E25" i="35"/>
  <c r="C27" i="35" s="1"/>
  <c r="E24" i="35"/>
  <c r="E30" i="34"/>
  <c r="E36" i="33"/>
  <c r="E37" i="33" s="1"/>
  <c r="E38" i="33" s="1"/>
  <c r="C40" i="33" s="1"/>
  <c r="E34" i="32"/>
  <c r="E35" i="32" s="1"/>
  <c r="E36" i="32" s="1"/>
  <c r="C38" i="32" s="1"/>
  <c r="E31" i="31"/>
  <c r="E32" i="31" s="1"/>
  <c r="E33" i="31" s="1"/>
  <c r="C35" i="31" s="1"/>
  <c r="E24" i="30"/>
  <c r="E25" i="30" s="1"/>
  <c r="C27" i="30" s="1"/>
  <c r="E33" i="29"/>
  <c r="C35" i="29" s="1"/>
  <c r="E26" i="27"/>
  <c r="C28" i="27" s="1"/>
  <c r="E6" i="26"/>
  <c r="E7" i="26"/>
  <c r="E8" i="26"/>
  <c r="E9" i="26"/>
  <c r="E10" i="26"/>
  <c r="E11" i="26"/>
  <c r="E12" i="26"/>
  <c r="E5" i="26"/>
  <c r="E27" i="60" l="1"/>
  <c r="C29" i="60" s="1"/>
  <c r="E24" i="57"/>
  <c r="C26" i="57" s="1"/>
  <c r="E17" i="38"/>
  <c r="C19" i="38" s="1"/>
  <c r="E31" i="34"/>
  <c r="E32" i="34" s="1"/>
  <c r="C34" i="34" s="1"/>
  <c r="E6" i="25"/>
  <c r="E5" i="25"/>
  <c r="E5" i="24"/>
  <c r="E12" i="24" s="1"/>
  <c r="E13" i="24" s="1"/>
  <c r="E13" i="23"/>
  <c r="E12" i="23"/>
  <c r="E11" i="23"/>
  <c r="E10" i="23"/>
  <c r="E9" i="23"/>
  <c r="E8" i="23"/>
  <c r="E7" i="23"/>
  <c r="E6" i="23"/>
  <c r="E5" i="23"/>
  <c r="E15" i="23" s="1"/>
  <c r="E5" i="22"/>
  <c r="E13" i="22" s="1"/>
  <c r="E5" i="21"/>
  <c r="E13" i="21" s="1"/>
  <c r="E8" i="20"/>
  <c r="E7" i="20"/>
  <c r="E6" i="20"/>
  <c r="E5" i="20"/>
  <c r="E8" i="19"/>
  <c r="E12" i="19"/>
  <c r="E11" i="19"/>
  <c r="E10" i="19"/>
  <c r="E9" i="19"/>
  <c r="E7" i="19"/>
  <c r="E6" i="19"/>
  <c r="E5" i="19"/>
  <c r="E5" i="18"/>
  <c r="E6" i="18"/>
  <c r="E7" i="18"/>
  <c r="E8" i="18"/>
  <c r="E9" i="18"/>
  <c r="E10" i="18"/>
  <c r="E17" i="18" s="1"/>
  <c r="E11" i="18"/>
  <c r="E12" i="18"/>
  <c r="E13" i="18"/>
  <c r="E16" i="18"/>
  <c r="E15" i="18"/>
  <c r="E14" i="18"/>
  <c r="E5" i="17"/>
  <c r="E12" i="17" s="1"/>
  <c r="E16" i="16"/>
  <c r="E6" i="16"/>
  <c r="E5" i="16"/>
  <c r="E16" i="15"/>
  <c r="E5" i="15"/>
  <c r="E5" i="14"/>
  <c r="E16" i="14" s="1"/>
  <c r="E5" i="13"/>
  <c r="E16" i="13" s="1"/>
  <c r="E6" i="11"/>
  <c r="E5" i="11"/>
  <c r="E15" i="10"/>
  <c r="E9" i="10"/>
  <c r="E5" i="10"/>
  <c r="E5" i="9"/>
  <c r="E14" i="9" s="1"/>
  <c r="E12" i="8"/>
  <c r="E11" i="8"/>
  <c r="E10" i="8"/>
  <c r="E9" i="8"/>
  <c r="E8" i="8"/>
  <c r="E7" i="8"/>
  <c r="E6" i="8"/>
  <c r="E5" i="8"/>
  <c r="E6" i="7"/>
  <c r="E7" i="7"/>
  <c r="E8" i="7"/>
  <c r="E9" i="7"/>
  <c r="E5" i="7"/>
  <c r="E13" i="6"/>
  <c r="E12" i="6"/>
  <c r="E5" i="5"/>
  <c r="E12" i="5" s="1"/>
  <c r="E5" i="3"/>
  <c r="E12" i="3" s="1"/>
  <c r="E6" i="2"/>
  <c r="E12" i="2" s="1"/>
  <c r="E7" i="2"/>
  <c r="E8" i="2"/>
  <c r="E9" i="2"/>
  <c r="E10" i="2"/>
  <c r="E5" i="2"/>
  <c r="E6" i="1"/>
  <c r="E7" i="1"/>
  <c r="E8" i="1"/>
  <c r="E22" i="1" s="1"/>
  <c r="E9" i="1"/>
  <c r="E10" i="1"/>
  <c r="E11" i="1"/>
  <c r="E12" i="1"/>
  <c r="E13" i="1"/>
  <c r="E14" i="1"/>
  <c r="E15" i="1"/>
  <c r="E16" i="1"/>
  <c r="E17" i="1"/>
  <c r="E18" i="1"/>
  <c r="E19" i="1"/>
  <c r="E20" i="1"/>
  <c r="E21" i="1"/>
  <c r="E5" i="1"/>
  <c r="E13" i="25" l="1"/>
  <c r="E14" i="25" s="1"/>
  <c r="C16" i="25" s="1"/>
  <c r="E31" i="26"/>
  <c r="E32" i="26" s="1"/>
  <c r="E33" i="26" s="1"/>
  <c r="C35" i="26" s="1"/>
  <c r="E14" i="24"/>
  <c r="C16" i="24" s="1"/>
  <c r="E17" i="23"/>
  <c r="C19" i="23" s="1"/>
  <c r="E16" i="23"/>
  <c r="E15" i="22"/>
  <c r="C17" i="22" s="1"/>
  <c r="E14" i="21"/>
  <c r="E15" i="21"/>
  <c r="C17" i="21" s="1"/>
  <c r="E13" i="20"/>
  <c r="E14" i="20" s="1"/>
  <c r="E15" i="20" s="1"/>
  <c r="C17" i="20" s="1"/>
  <c r="E13" i="19"/>
  <c r="E14" i="19" s="1"/>
  <c r="E15" i="19" s="1"/>
  <c r="C17" i="19" s="1"/>
  <c r="E18" i="18"/>
  <c r="E19" i="18" s="1"/>
  <c r="C21" i="18" s="1"/>
  <c r="E13" i="17"/>
  <c r="E14" i="17" s="1"/>
  <c r="C16" i="17" s="1"/>
  <c r="E17" i="16"/>
  <c r="E18" i="16" s="1"/>
  <c r="C20" i="16" s="1"/>
  <c r="E17" i="15"/>
  <c r="E18" i="15" s="1"/>
  <c r="C20" i="15" s="1"/>
  <c r="E17" i="14"/>
  <c r="E18" i="14" s="1"/>
  <c r="C20" i="14" s="1"/>
  <c r="E17" i="13"/>
  <c r="E18" i="13" s="1"/>
  <c r="C20" i="13" s="1"/>
  <c r="E16" i="11"/>
  <c r="E17" i="11" s="1"/>
  <c r="E18" i="11" s="1"/>
  <c r="C20" i="11" s="1"/>
  <c r="E14" i="10"/>
  <c r="E16" i="10" s="1"/>
  <c r="C18" i="10" s="1"/>
  <c r="E16" i="9"/>
  <c r="C18" i="9" s="1"/>
  <c r="E16" i="8"/>
  <c r="E17" i="8" s="1"/>
  <c r="E18" i="8" s="1"/>
  <c r="C20" i="8" s="1"/>
  <c r="E12" i="7"/>
  <c r="E13" i="7" s="1"/>
  <c r="E14" i="7" s="1"/>
  <c r="C16" i="7" s="1"/>
  <c r="E14" i="6"/>
  <c r="C16" i="6" s="1"/>
  <c r="E13" i="5"/>
  <c r="E14" i="5" s="1"/>
  <c r="C16" i="5" s="1"/>
  <c r="E13" i="3"/>
  <c r="E14" i="3" s="1"/>
  <c r="C16" i="3" s="1"/>
  <c r="E13" i="2"/>
  <c r="E14" i="2" s="1"/>
  <c r="C16" i="2" s="1"/>
  <c r="E23" i="1"/>
  <c r="E24" i="1" s="1"/>
  <c r="C26" i="1" s="1"/>
</calcChain>
</file>

<file path=xl/sharedStrings.xml><?xml version="1.0" encoding="utf-8"?>
<sst xmlns="http://schemas.openxmlformats.org/spreadsheetml/2006/main" count="3231" uniqueCount="682">
  <si>
    <t>ลำดับที่</t>
  </si>
  <si>
    <t>รายการ/รายละเอียด/
แคตตาล็อก/รูปภาพ</t>
  </si>
  <si>
    <t>จำนวน</t>
  </si>
  <si>
    <t>ราคาประมาณการ</t>
  </si>
  <si>
    <t>(บาท)</t>
  </si>
  <si>
    <t>ราคา/หน่วย</t>
  </si>
  <si>
    <t>ราคารวม</t>
  </si>
  <si>
    <t>ระยะเวลาที่ต้องการใช้งาน</t>
  </si>
  <si>
    <r>
      <rPr>
        <b/>
        <sz val="16"/>
        <color theme="1"/>
        <rFont val="Franklin Gothic Medium"/>
        <family val="2"/>
      </rPr>
      <t xml:space="preserve"> </t>
    </r>
    <r>
      <rPr>
        <b/>
        <sz val="16"/>
        <color theme="1"/>
        <rFont val="TH SarabunPSK"/>
        <family val="2"/>
      </rPr>
      <t xml:space="preserve">คณะกรรมการซื้อ/จ้าง   </t>
    </r>
  </si>
  <si>
    <r>
      <rPr>
        <b/>
        <sz val="16"/>
        <color theme="1"/>
        <rFont val="Franklin Gothic Medium"/>
        <family val="2"/>
      </rPr>
      <t xml:space="preserve"> </t>
    </r>
    <r>
      <rPr>
        <b/>
        <sz val="16"/>
        <color theme="1"/>
        <rFont val="TH SarabunPSK"/>
        <family val="2"/>
        <charset val="222"/>
      </rPr>
      <t>คณะกรรมการตรวจรับพัสดุ</t>
    </r>
  </si>
  <si>
    <r>
      <rPr>
        <b/>
        <sz val="16"/>
        <color theme="1"/>
        <rFont val="Franklin Gothic Medium"/>
        <family val="2"/>
      </rPr>
      <t xml:space="preserve"> </t>
    </r>
    <r>
      <rPr>
        <b/>
        <sz val="16"/>
        <color theme="1"/>
        <rFont val="TH SarabunPSK"/>
        <family val="2"/>
        <charset val="222"/>
      </rPr>
      <t xml:space="preserve">ผู้ตรวจรับพัสดุ </t>
    </r>
  </si>
  <si>
    <t>Potentiometer Adjustable Resistance Shaft 3 Pins  Long Handle 1K</t>
  </si>
  <si>
    <t>Potentiometer Adjustable Resistance Shaft 3 Pins  Long Handle 5K</t>
  </si>
  <si>
    <t>Potentiometer Adjustable Resistance Shaft 3 Pins  Long Handle 10K</t>
  </si>
  <si>
    <t>Potentiometer Adjustable Resistance Shaft 3 Pins  Long Handle 50K</t>
  </si>
  <si>
    <t>Potentiometer Adjustable Resistance Shaft 3 Pins  Long Handle 100K</t>
  </si>
  <si>
    <t>Potentiometer Adjustable Resistor 50 Ohm</t>
  </si>
  <si>
    <t>Potentiometer Adjustable Resistor 500 Ohm</t>
  </si>
  <si>
    <t>Potentiometer Adjustable Resistor 1 K</t>
  </si>
  <si>
    <t>Potentiometer Adjustable Resistor 10K</t>
  </si>
  <si>
    <t>Potentiometer Adjustable Resistor 50 K</t>
  </si>
  <si>
    <t>Potentiometer Adjustable Resistor 500 K</t>
  </si>
  <si>
    <t>Module Relay 5V แบบปรับ Active high / low ได้ (250VAC10A) 1CH</t>
  </si>
  <si>
    <t>Module Relay 5V แบบปรับ Active high / low ได้ (250VAC10A) 2CH</t>
  </si>
  <si>
    <t>Module Relay 5V แบบปรับ Active high / low ได้ (250VAC10A) 4CH</t>
  </si>
  <si>
    <t>Module Relay 5V แบบปรับ Active high / low ได้ (250VAC10A) 8CH</t>
  </si>
  <si>
    <t>แผ่นวงจรจ่ายไฟ 2 ระบบ</t>
  </si>
  <si>
    <t>สาย USB ผู้-ผู้</t>
  </si>
  <si>
    <t>ผศ.ภาษิศร์ ณ รังษี</t>
  </si>
  <si>
    <t>อาจารย์กฤษฎา พรหมสุทธิรักษ์</t>
  </si>
  <si>
    <t>อาจารย์ณัฐวดี ศรีคชา</t>
  </si>
  <si>
    <t>รศ.ดร.วรา วราวิทย์</t>
  </si>
  <si>
    <t>รศ.ดร.สุมาลี อุณหวณิชย์</t>
  </si>
  <si>
    <t>รศ.ดร.ธีระศิลป์ ทุมวิภาต</t>
  </si>
  <si>
    <t>ภาษีมูลค่าเพิ่ม 7%</t>
  </si>
  <si>
    <t>ราคารวมภาษีมูลค่าเพิ่ม</t>
  </si>
  <si>
    <t xml:space="preserve">รวมทั้งสิ้น </t>
  </si>
  <si>
    <t>ไม้บรรทัดเทมเพลท (ไฟฟ้า)</t>
  </si>
  <si>
    <t>ไม้บรรทัดเทมเพลท (คอมพิวเตอร์) Flowchart</t>
  </si>
  <si>
    <t>ชุดหลอดไฟ LED 8mm จำลองไฟจราจรสำเร็จรูป</t>
  </si>
  <si>
    <t>USB 3.0 Type A Female Breakout Board</t>
  </si>
  <si>
    <t>5V DC Viltage Regulator Module Board, Based on 7805</t>
  </si>
  <si>
    <t>RFID Card Read Write Module Kit (RC522)</t>
  </si>
  <si>
    <t>WebLog Expert Standard 21061</t>
  </si>
  <si>
    <t>USB MOUSE LOGITECH M100R BLACK</t>
  </si>
  <si>
    <t>ค่าเช่ารถบัสปรับอากาศ 50 ที่นั่ง</t>
  </si>
  <si>
    <t>เดินทางวันที่ 22 มิ.ย.2566</t>
  </si>
  <si>
    <t>สถาบันเทคโนโลยีจิตรลดา-ไปรษณีย์กลาง-สถาบันเทคโนโลยีจิตรลดา</t>
  </si>
  <si>
    <t>อาจารย์พุทธชาด ประสานแก้ว</t>
  </si>
  <si>
    <t>คณะกรรมการจัดจ้าง</t>
  </si>
  <si>
    <t>คณะกรรมการตรวจรับ</t>
  </si>
  <si>
    <t>คณะกรรมการจัดซื้อ</t>
  </si>
  <si>
    <t>กระดาษปรู๊ฟ A2 50 แกรม บรรจุ 100 แผ่น</t>
  </si>
  <si>
    <t>โปสเตอร์ 2 หน้า 70 G No.15 สีดา</t>
  </si>
  <si>
    <t>กระดาษอาร์ตการ์ด ผิวด้าน 250 g A3+</t>
  </si>
  <si>
    <t>สมุดเส้นตาราง กระดาษถนอมสายตา ขนาด A4</t>
  </si>
  <si>
    <t>หุ่นรูปคน ผู้หญิง</t>
  </si>
  <si>
    <t>สาย HDMI 4K (V.2.0) M/M (10M)</t>
  </si>
  <si>
    <t>สาย HDMI 4K (V.2.0) M/M (5M)</t>
  </si>
  <si>
    <t>สาย Converter Type-C TO USB 3.0 )</t>
  </si>
  <si>
    <t>USB KEYBOARD LOGITECH K120 BLACK</t>
  </si>
  <si>
    <t>สาย Apple Thunderbolt 4 Pro (3 m)</t>
  </si>
  <si>
    <t>เทปตีนตุ๊กเเกไม่มีกาว 1.5 นิ้ว เป็นคู่ ขนาด 5 เมตร 
หนาม สีดา,ขาว /เมจิกเทป</t>
  </si>
  <si>
    <t>กระดาษ a4 ขนาด 80 แกรม เส้นกริดสีเทา 
บรรจุห่อละ 50 แผ่น</t>
  </si>
  <si>
    <t>สาย Converter Type-C 5 in1 USB 3.0 Hub 3, 
PD Charge USB-C 60w</t>
  </si>
  <si>
    <t>จ้างเหมาการจัดการเรียนการสอนกลุ่มวิชาเฉพาะ</t>
  </si>
  <si>
    <t>ด้านให้เป็นแบบโมดูล</t>
  </si>
  <si>
    <t>โครง Roll up + งานพิมพ์</t>
  </si>
  <si>
    <t>InDoor (lใช้งานไม่โดนแดด)</t>
  </si>
  <si>
    <t>85x200cm.</t>
  </si>
  <si>
    <t xml:space="preserve">แผ่นพับ </t>
  </si>
  <si>
    <t>กางออก กว้าง 30cm.สูง 19cm.</t>
  </si>
  <si>
    <t>พับครั้งเป็นขนาดสำเร็จ</t>
  </si>
  <si>
    <t>กว้าง 15cm. สูง 19cm. 4สี 2หน้า</t>
  </si>
  <si>
    <t>ปอนด์ 120g หรืออาร์ตด้าน 130g</t>
  </si>
  <si>
    <t>2แบบๆ ละ 300 ใบ</t>
  </si>
  <si>
    <t>4 PORT HDMI SPLITTER WITH 4K SUPPORT NEXIS FH-SP104E</t>
  </si>
  <si>
    <t>HDMI 4K v2.0 M/M Cable 15 M.</t>
  </si>
  <si>
    <t>Wireless Access Point AC1200 (TL-WA1201)</t>
  </si>
  <si>
    <t>ZX-RGB12R แผงวงจร LED 3 สี RGB 
แบบโปรแกรมได้</t>
  </si>
  <si>
    <t>หลอดไฟแบบ USB</t>
  </si>
  <si>
    <t>เดินทางวันที่ 10 ส.ค.2566</t>
  </si>
  <si>
    <t>ค่าขนส่งโดยสารด้วยรถโค้ชปรับอากาศ 44-50 ที่นั่ง</t>
  </si>
  <si>
    <t>สถาบันเทคโนโลยีจิตรลดา-วัดพระศรีรัตนศาสดาราม, วัดราชบพิธ, วัดพระเชตุพน (วัดโพธิ์) (ไป-กลับ)</t>
  </si>
  <si>
    <t>สปอตไลท์ภายนอก LED EVE BET2 150 วัตต์ IP65 3,000K แสงเหลืองนวล</t>
  </si>
  <si>
    <t>สปอตไลท์ภายนอก LED EVE BET2 150 วัตต์ IP65 6,500K แสงสีขาว</t>
  </si>
  <si>
    <t>ขาตั้งสปอร์ตไลท์ สูง 1.6เมตร ขาตั้ง 1.6 เมตร สามารถกางได้ตั้งแต่ 60 เซนติเมตร</t>
  </si>
  <si>
    <t>แผ่นยางรองตัด 45x60 (A2) อินคา</t>
  </si>
  <si>
    <t>ฟุตเหล็ก 24 นิ้ว Flying Tiger</t>
  </si>
  <si>
    <t>หุ่นรูปคน ผู้ชาย</t>
  </si>
  <si>
    <t>กาวดินน้ำมัน 60 กรัม ขาว ยู้ฮู</t>
  </si>
  <si>
    <t>สติกเกอร์ขาวด้าน A4 70 แกรม (แพ็ค 100 แผ่น) บอส</t>
  </si>
  <si>
    <t>น้ำยาเชื่อมพลาสติกอะคริลิค 450cc.(ขวดใหญ่)</t>
  </si>
  <si>
    <t>กาวลาเท็กซ์งานไม้ปาร์เก้เฟอร์นิเจอร์ 
TOA รุ่น LA-35A ขนาด 1 กก. สีขาว</t>
  </si>
  <si>
    <t>กาวติดพลาสติก UHU 33 มล. สีใส</t>
  </si>
  <si>
    <t>ตู้ 2 บานเปิด ขนาด 90x40x185 ซม.</t>
  </si>
  <si>
    <t>ตู้ 2 บานเปิดทึบ ขนาด 91x45.7x183 ซม.</t>
  </si>
  <si>
    <t>ตู้ 2 บานเปิดกระจก ขนาด 91x45.7x183 ซม</t>
  </si>
  <si>
    <t xml:space="preserve">ตู้เอกสาร 1 ประตู 4 ลิ้นชัก กลาง 9 ชั้น
ขนาด 118.5x40.7x88 ซม. </t>
  </si>
  <si>
    <t>ตู้เอกสาร 1 ประตู 6 ลิ้นชักกลาง 3 ช่อง</t>
  </si>
  <si>
    <t>ตู้เหล็กบานเลื่อนกระจก ขนาด 87.6x40.6x87.6 ซม.</t>
  </si>
  <si>
    <t>ชั้นวางของโล่ง ขนาด 400x200x60 ซม.</t>
  </si>
  <si>
    <t>ตู้บานเลื่อนทึบ ขนาด 118.4x40.6x87.4 ซม.</t>
  </si>
  <si>
    <t xml:space="preserve">37 sensor kit </t>
  </si>
  <si>
    <t>Arduino mega R3</t>
  </si>
  <si>
    <t>CUCUMBER R GRAVITECH ESP32-S2 WIFI DEV BOARD</t>
  </si>
  <si>
    <t>จอLCDแสดงผล16 อักษร 2 บรรทัด</t>
  </si>
  <si>
    <t>สมดุฉีกตราช้าง รุ่นP-103S ขนาด A4 เส้นตารางแบบไฮบริด 70 แกรม 50 แผ่น</t>
  </si>
  <si>
    <t>ค่าจ้างเหมาบริการชุดฝึกปฏิบัติงานระบบ</t>
  </si>
  <si>
    <t>เครือข่ายคอมพิวเตอร์</t>
  </si>
  <si>
    <t>ดร.ศรายุทธ ฉายสุริยะ</t>
  </si>
  <si>
    <t>นายกฤตนัย จิระชัย</t>
  </si>
  <si>
    <t>อาจารย์เดชา ชุมทัพ</t>
  </si>
  <si>
    <t>นายญาณพงศ์ ขุนวงษ์</t>
  </si>
  <si>
    <t>ภาษีมูลค่าเพิ่ม 7% (ถ้ามี)</t>
  </si>
  <si>
    <t>CUCUMBER RIS GRAVITECH ESP32-S2 WIFI DEV BOARD WITH SENSORS 
บอร์ดเพื่อใช้ในการพัฒนา Wifi IoT</t>
  </si>
  <si>
    <t>TP-Link (UE306) อุปกรณ์แปลงสัญญาณความเร็วสูง</t>
  </si>
  <si>
    <t>SEN0161 pH Sensor Module เซ็นเซอร์วัดค่า PH ของน้ำ วัดค่ากรด ด่าง</t>
  </si>
  <si>
    <t>DS18B20 Full Waterproof Temperature Sensor เซ็นเซอร์วัดอุณหภูมิในน้ำ</t>
  </si>
  <si>
    <t>Non-contack liquid level Water level Sensor 12V NPN เซ็นเซอร์วัดระดับน้ำของเหลว แบบไรสัมผัส</t>
  </si>
  <si>
    <t>DC 12V 3M 240L/H</t>
  </si>
  <si>
    <t>Vacuum pump DC 12V เครื่องปั้มออกซิเจน เครื่องปั้มลม</t>
  </si>
  <si>
    <t>ท่อซิลิโคนยืดหยุ่น ขนาด 3*5 mm</t>
  </si>
  <si>
    <t>Tuya Wifi FishTank เครื่องทดสอบคุณภาพน้ำ</t>
  </si>
  <si>
    <t>ค่าบริการขนส่งโดยสารด้วยรถโค้ชปรับอากาศ 44-50 ที่นั่ง</t>
  </si>
  <si>
    <t>เดินทางวันที่ 21 ธ.ค.2566</t>
  </si>
  <si>
    <t>สถาบันเทคโนโลยีจิตรลดา-กองบัญชาการช่วยรบที่ 2 
ค่ายสุรนารี ต.หนองไผ่ อ.เมือง จ.นครราชสีมา (ไป-กลับ)</t>
  </si>
  <si>
    <t>AL profile  2020 slot 6 L=340 +/- 0.5</t>
  </si>
  <si>
    <t>AL profile  2020 slot 6 L=280 +/- 0.5</t>
  </si>
  <si>
    <t>AL profile  2020 slot 6 L=270 +/- 0.5</t>
  </si>
  <si>
    <t>AL profile  2020 slot 6 L=320 +/- 0.5</t>
  </si>
  <si>
    <t>AL profile  2020 slot 6 L=160 +/- 0.5</t>
  </si>
  <si>
    <t>AL profile  2020 slot 6 L=195 +/- 0.5</t>
  </si>
  <si>
    <t>AL profile  2020 slot 6 L=235 +/- 0.5</t>
  </si>
  <si>
    <t>AL profile  2040 slot 6 L=280 +/- 0.5</t>
  </si>
  <si>
    <t>Collar lock</t>
  </si>
  <si>
    <t>Knob M5</t>
  </si>
  <si>
    <t>BEARING 6900ZZ</t>
  </si>
  <si>
    <t>RETAINING RING SUS ID 22</t>
  </si>
  <si>
    <t>SHCS 5-8  sus</t>
  </si>
  <si>
    <t>SHCS 5-10 sus</t>
  </si>
  <si>
    <t>SHCS 5-12 sus</t>
  </si>
  <si>
    <t>SHCS 5-20 sus</t>
  </si>
  <si>
    <t>Washer M5 sus</t>
  </si>
  <si>
    <t>Shaft S45C Hardchrome Od10mm h6 L=278mm</t>
  </si>
  <si>
    <t>Protractor</t>
  </si>
  <si>
    <t>Cup 50 degree</t>
  </si>
  <si>
    <t>Cup 70 degree</t>
  </si>
  <si>
    <t>Support shaft 10 mm</t>
  </si>
  <si>
    <t>Plate support column</t>
  </si>
  <si>
    <t>Housing bearing</t>
  </si>
  <si>
    <t>Floor plate</t>
  </si>
  <si>
    <t>Component Box</t>
  </si>
  <si>
    <t>เดินทางวันที่ 8 ก.พ. 2567</t>
  </si>
  <si>
    <t>เดินทาง จาก สถาบันเทคโนโลยีจิตรลดา ไปกลับ การท่าเรือแห่งประเทศไทย</t>
  </si>
  <si>
    <t>ถังสี่เหลี่ยมมีลอน 200 ลิตร COMOS รุ่น SL-200-8 สีน้ำเงิน</t>
  </si>
  <si>
    <t>ถังน้ำพร้อมฝา 66 ลิตร (17GL) KASSA HOME รุ่น NO.20</t>
  </si>
  <si>
    <t>Arduino Relay Module 12V 2 Chennel</t>
  </si>
  <si>
    <t>หัวทรายแบบละเอียด</t>
  </si>
  <si>
    <t>Tuya WiFi Fish Tank เครื่องทดสอบคุณภาพน้ำ</t>
  </si>
  <si>
    <t>สาย USB Type C</t>
  </si>
  <si>
    <t xml:space="preserve">คณะกรรมการซื้อ/จ้าง   </t>
  </si>
  <si>
    <t>คณะกรรมการฯ หรือผู้ตรวจรับพัสดุ</t>
  </si>
  <si>
    <t>หมายเหตุ</t>
  </si>
  <si>
    <t>คณะกรรมการฯ หรือผู้รับผิดชอบการจัดทำร่าง TOR/Spec.</t>
  </si>
  <si>
    <t>รายละเอียดที่แนบ</t>
  </si>
  <si>
    <r>
      <rPr>
        <sz val="16"/>
        <color theme="1"/>
        <rFont val="Wingdings 2"/>
        <family val="1"/>
        <charset val="2"/>
      </rPr>
      <t xml:space="preserve">£ </t>
    </r>
    <r>
      <rPr>
        <sz val="16"/>
        <color theme="1"/>
        <rFont val="TH SarabunPSK"/>
        <family val="2"/>
      </rPr>
      <t>แคตตาล็อก/รูปภาพ</t>
    </r>
  </si>
  <si>
    <r>
      <rPr>
        <sz val="16"/>
        <color theme="1"/>
        <rFont val="Wingdings 2"/>
        <family val="1"/>
        <charset val="2"/>
      </rPr>
      <t xml:space="preserve">£ </t>
    </r>
    <r>
      <rPr>
        <sz val="16"/>
        <color theme="1"/>
        <rFont val="TH SarabunPSK"/>
        <family val="2"/>
      </rPr>
      <t>TOR/Spec.</t>
    </r>
  </si>
  <si>
    <r>
      <rPr>
        <sz val="16"/>
        <color theme="1"/>
        <rFont val="Wingdings 2"/>
        <family val="1"/>
        <charset val="2"/>
      </rPr>
      <t xml:space="preserve">£ </t>
    </r>
    <r>
      <rPr>
        <sz val="16"/>
        <color theme="1"/>
        <rFont val="TH SarabunPSK"/>
        <family val="2"/>
      </rPr>
      <t>อื่นๆ …..............................</t>
    </r>
  </si>
  <si>
    <t>แผ่นไม้ก๊อก (ไม้ก๊อกบอร์ด) หนา 6 มิล ขนาด 2x3 ฟุต = 60x90 ซม.</t>
  </si>
  <si>
    <t>กาวลาเท็กซ์ กาว TOA LA-22S 1.8 kg</t>
  </si>
  <si>
    <t>แปรงทาสีขนสังเคราะห์ ขนาด 3 นิ้ว</t>
  </si>
  <si>
    <t xml:space="preserve">ค่าบริการเช่ารถตู้ ไป-กลับ </t>
  </si>
  <si>
    <t>-</t>
  </si>
  <si>
    <t>วัดกฤษณเวฬุพุทธาราม(วัดไผ่ดำ)</t>
  </si>
  <si>
    <t xml:space="preserve">เดินทาง จาก สถาบันเทคโนโลยีจิตรลดา ไป-กลับ </t>
  </si>
  <si>
    <t>High-Speed WAN Interface card HWIC-2FE</t>
  </si>
  <si>
    <t>หัวปลั๊ก 3 ขากลมพร้อมสาย VCT 3 ขา มาตรฐานมอก.11-2553</t>
  </si>
  <si>
    <t>สายสีตรง รองรับไฟ16A 3x1.5 ตร.มม.5ม.สีดำ รับประกัน 1 ปี</t>
  </si>
  <si>
    <t>เข็มหมุดปักแผนที่เบนนอน 5817</t>
  </si>
  <si>
    <t>กระดาษปรู๊ฟ A2 50แกรม บรรจุ 100 แผ่น</t>
  </si>
  <si>
    <t>คัตเตอร์โรตารี่ PRC-2 ตัดปรุ</t>
  </si>
  <si>
    <t>คัตเตอร์โรตารี่ PRC-3 ตัดปรุ</t>
  </si>
  <si>
    <t>ใบมีดคัตเตอร์โรตารี่ PRB18-2 ขนาด 18 มม. ใบมีดตัดปรุ</t>
  </si>
  <si>
    <t>ใบมีดคัตเตอร์โรตารี่ PRB18-2 ขนาด 28 มม. ใบมีดตัดปรุ</t>
  </si>
  <si>
    <t>คัตเตอร์ตัดวงกลม Morn Sum No.19200</t>
  </si>
  <si>
    <t>มีดพับกระดาษ 6 นิ้ว</t>
  </si>
  <si>
    <t>เทปเยื่อกาว 2 หน้า 18มม.x 10หลา สก๊อตช์</t>
  </si>
  <si>
    <t>แผ่นอะคริลิค 60x60 cm. หนา 4 mm สีใส</t>
  </si>
  <si>
    <t>แผ่นอะคริลิค 60x60 cm. หนา 4 mm สีขุ่น</t>
  </si>
  <si>
    <t>แผ่นอะคริลิค 60x60 cm. หนา 4 mm สีดำทึบ</t>
  </si>
  <si>
    <t>แผ่นอะคริลิค 60x60 cm. หนา 4 mm สีขาวทึบ</t>
  </si>
  <si>
    <t>โพสต์อิน 3x3 654-5PK 5 สี (แพ็ค5เล่ม)</t>
  </si>
  <si>
    <t>เทปนิตโต้ 720 (18mm*18m) (แพ็ค5เล่ม)</t>
  </si>
  <si>
    <t>Converter Type-C 5 IN 1 UGREEN (50209)</t>
  </si>
  <si>
    <t>รางปลั๊ก 5 ช่อง 2USB 5 เมตร ดำ โตชิโน TIS5075USB-5M</t>
  </si>
  <si>
    <t>ปลั๊กคู่</t>
  </si>
  <si>
    <t>กล่องปลั๊กลอย</t>
  </si>
  <si>
    <t>ฝาครอบ 3 ช่อง</t>
  </si>
  <si>
    <t>กล่องใส่เบรกเกอร์</t>
  </si>
  <si>
    <t>ท่อ pvc 25 mm 3m.</t>
  </si>
  <si>
    <t>คอนเนคเตอร์ใช้กับท่อ ขนาดท่อ pvc 25 mm</t>
  </si>
  <si>
    <t>แคลมป์ก้ามปู ขนาด pvc 25 mm</t>
  </si>
  <si>
    <t xml:space="preserve">พุกพลาสติก ขนาด 7 </t>
  </si>
  <si>
    <t>สกรูเกลียวแข็ง 7*1</t>
  </si>
  <si>
    <t>ข้องอโค้ง</t>
  </si>
  <si>
    <t>เทปพันสายไฟ 3M</t>
  </si>
  <si>
    <r>
      <t>สายไฟเดี่ยว (สีน้ำตาล) THW 4mm</t>
    </r>
    <r>
      <rPr>
        <vertAlign val="superscript"/>
        <sz val="16"/>
        <rFont val="TH SarabunPSK"/>
        <family val="2"/>
      </rPr>
      <t>2</t>
    </r>
  </si>
  <si>
    <r>
      <t>สายไฟเดี่ยว (สีฟ้า) THW 4mm</t>
    </r>
    <r>
      <rPr>
        <vertAlign val="superscript"/>
        <sz val="16"/>
        <rFont val="TH SarabunPSK"/>
        <family val="2"/>
      </rPr>
      <t>2</t>
    </r>
  </si>
  <si>
    <r>
      <t>สายไฟเดี่ยว (สีเขียว) THW 1 mm</t>
    </r>
    <r>
      <rPr>
        <vertAlign val="superscript"/>
        <sz val="16"/>
        <rFont val="TH SarabunPSK"/>
        <family val="2"/>
      </rPr>
      <t>2</t>
    </r>
  </si>
  <si>
    <t>ท่ออ่อนร้อยสายไฟเหล็ก 3/4</t>
  </si>
  <si>
    <t>รางอลูมิเนียม ยาว 1.2 เมตร</t>
  </si>
  <si>
    <t>ฝาปิดรางอลูมิเนียม</t>
  </si>
  <si>
    <t>เซอร์กิตเบรกเกอร์ 30 A, 1</t>
  </si>
  <si>
    <t>เซอร์กิตเบรกเกอร์ 40 A, 1</t>
  </si>
  <si>
    <t>สายไฟ VCT 3x2.5 Sqmm. 50 เมตร</t>
  </si>
  <si>
    <t xml:space="preserve">ปลั๊กไฟ </t>
  </si>
  <si>
    <t>ชุดเต้ารับ Ethernet+ฝาครอบ</t>
  </si>
  <si>
    <t>สาย Lan CAT6 305 เมตร</t>
  </si>
  <si>
    <t>หัว RJ45 (Cat 6)</t>
  </si>
  <si>
    <t>ครอบรางไฟทางเดิน 2 เมตร</t>
  </si>
  <si>
    <t>ท่อพลาสติกขาว 20 มม., 3ม.</t>
  </si>
  <si>
    <t>ข้อต่อท่อตรง</t>
  </si>
  <si>
    <t>ข้องอ 90 องศา</t>
  </si>
  <si>
    <t>วายเวย์สีขาว (2ม., 30x30 มม.)</t>
  </si>
  <si>
    <t>ท่ออ่อนร้อยสายไฟสีขาว (20 มม.)</t>
  </si>
  <si>
    <t>เคเบิลไทด์ 4 นิ้ว</t>
  </si>
  <si>
    <t>TP-WA1201</t>
  </si>
  <si>
    <r>
      <t>สายไฟเดี่ยว (สีน้ำตาล) THW 2.5mm</t>
    </r>
    <r>
      <rPr>
        <vertAlign val="superscript"/>
        <sz val="16"/>
        <rFont val="TH SarabunPSK"/>
        <family val="2"/>
      </rPr>
      <t>2</t>
    </r>
  </si>
  <si>
    <r>
      <t>สายไฟเดี่ยว (สีฟ้า) THW 2.5mm</t>
    </r>
    <r>
      <rPr>
        <vertAlign val="superscript"/>
        <sz val="16"/>
        <rFont val="TH SarabunPSK"/>
        <family val="2"/>
      </rPr>
      <t>2</t>
    </r>
  </si>
  <si>
    <r>
      <t>สายไฟเดี่ยว (สีเขียว) THW 2.5 mm</t>
    </r>
    <r>
      <rPr>
        <vertAlign val="superscript"/>
        <sz val="16"/>
        <rFont val="TH SarabunPSK"/>
        <family val="2"/>
      </rPr>
      <t>2</t>
    </r>
  </si>
  <si>
    <t>เดินทางวันที่ 7 พ.ค. 2567 และ 10 พ.ค. 2567</t>
  </si>
  <si>
    <t>เดินทางวันที่ เมษายน 2567</t>
  </si>
  <si>
    <t>กระดาษชานอ้อย หนา 1.2 mm ขนาด A3</t>
  </si>
  <si>
    <t>กระดาษชานอ้อย หน้า 1.6 mm ขนาด A3</t>
  </si>
  <si>
    <t>ใบมีดคัดเตอร์ ตราสิงห์ 30 องศา 9 mm. หนา 0.38 mm. (กล่อง 40 ใบ)</t>
  </si>
  <si>
    <t>ดินสอเขียนแบบ EE (กล่อง 12 แท่ง)</t>
  </si>
  <si>
    <t>Flash Drive SANDISK 32 GB Ultra Dual Drive Go Type-C Black</t>
  </si>
  <si>
    <t>ผศ.ดร.วรัญญู วงษ์เสรี</t>
  </si>
  <si>
    <t>Raspberry Pi 5 - 8GB</t>
  </si>
  <si>
    <t>กล่องใส่บอร์ดรุ่นมาตรฐาน</t>
  </si>
  <si>
    <t>microSD การ์ด 32GB พร้อม Raspbian OS</t>
  </si>
  <si>
    <t>อะแดปเตอร์ 5V 27W</t>
  </si>
  <si>
    <t>อุปกรณ์ระบายความร้อน</t>
  </si>
  <si>
    <t>กาวลาเท็กซ์ 1.8 กก. TOA (กล่อง 4 แกลลอน)</t>
  </si>
  <si>
    <t>HDMI Cable M/M 15 M.</t>
  </si>
  <si>
    <t>อะแดปเตอร์โน๊ตบุ๊คAcer 19V3.42A(65W)*หัวขนาด 5.5x1.7mm.*[พร้อม] สายไฟAC Power]สายชาร์จ Aspire Travelmate Notebook Adapter</t>
  </si>
  <si>
    <t>โต๊ะเหลี่ยมผืนผ้า</t>
  </si>
  <si>
    <r>
      <rPr>
        <b/>
        <sz val="14"/>
        <rFont val="TH SarabunPSK"/>
        <family val="2"/>
      </rPr>
      <t xml:space="preserve">ขนาด : </t>
    </r>
    <r>
      <rPr>
        <sz val="14"/>
        <rFont val="TH SarabunPSK"/>
        <family val="2"/>
      </rPr>
      <t xml:space="preserve">
ความกว้าง 150 เซนติเมตร x ความยาว 60 เซนติเมตร x ความสูง 75 เซนติเมตร </t>
    </r>
  </si>
  <si>
    <t xml:space="preserve">- 	โครงขาเหล็ก SPCC 1.5” x  1.5” หนา 1.1 มม. ใส่ปรับระดับ </t>
  </si>
  <si>
    <t>- พ่นสี Electrostatic Painting System (Epoxy) อบด้วยอุณหภูมิ 170 องศา</t>
  </si>
  <si>
    <t>- Top ไม้ยางพาราประสานหนา 18 มม. ย้อมสีธรรมชาติ</t>
  </si>
  <si>
    <t>- กล่องไฟใต้โต๊ะ ไม้ยางพาราประสานหนา 15 มม. ย้อมสีธรรมชาติ</t>
  </si>
  <si>
    <t>- ใต้โต๊ะใส่กล่องปลั๊กไฟมีกราวด์ 2 หัว 2 ชุด ยี่ห้อ Panasonic มอก. 166-2549</t>
  </si>
  <si>
    <t xml:space="preserve">- ปลายโต๊ะติดปลั๊กตัวเมีย IP44 Spin 16A 220-250V 
อีกฝั่งติดปลั๊กตัวผู้ เพื่อต่ออนุกรมระบบไฟ </t>
  </si>
  <si>
    <t>- สำหรับปลั๊กที่ต่อกับปลั๊กผนังใช้หัวปลั๊กยางมีกราวด์ยี่ห้อ Sokawa มอก. 166-2549</t>
  </si>
  <si>
    <t>- สายไฟ 2.5 VCT ทั้งหมด</t>
  </si>
  <si>
    <t>ระยะเวลา
ที่ต้องการใช้งาน</t>
  </si>
  <si>
    <t>คณะกรรมการฯหรือผู้รับผิดชอบ
การจัดทำร่าง TOR/Spec.</t>
  </si>
  <si>
    <t>ผศ.สิริทัต เตชะพะโลกุล</t>
  </si>
  <si>
    <t>โต๊ะคางหมู</t>
  </si>
  <si>
    <r>
      <rPr>
        <b/>
        <sz val="14"/>
        <color theme="1"/>
        <rFont val="TH SarabunPSK"/>
        <family val="2"/>
      </rPr>
      <t xml:space="preserve">ขนาด: </t>
    </r>
    <r>
      <rPr>
        <sz val="14"/>
        <color theme="1"/>
        <rFont val="TH SarabunPSK"/>
        <family val="2"/>
        <charset val="222"/>
      </rPr>
      <t xml:space="preserve">ความกว้าง 110 เซนติเมตร x ความยาว 60 เซนติเมตร x ความสูง 75 เซนติเมตร </t>
    </r>
  </si>
  <si>
    <t xml:space="preserve">- โครงขาเหล็ก SPCC 1.5” x  1.5” หนา 1.1 มม. ใส่ปรับระดับ </t>
  </si>
  <si>
    <t>โต๊ะปฏิบัติการ</t>
  </si>
  <si>
    <t>โต๊ะเรียน</t>
  </si>
  <si>
    <t>ผศ.สิริทัต เตขะพะโลกุล</t>
  </si>
  <si>
    <t>เดินทางวันที่ 8 สิงหาคม 2567</t>
  </si>
  <si>
    <t>เดินทาง จาก สถาบันเทคโนโลยีจิตรลดา ไป-กลับ ศูนย์สร้างสรรค์งานออกแบบ (TCDC) อาคารไปรษณีย์กลาง ถ.เจริญกรุง</t>
  </si>
  <si>
    <t>ค่าบริการขนส่งโดยสารด้วยรถโค้ชปรับอากาศ 34 ที่นั่ง</t>
  </si>
  <si>
    <t>เดินทางวันที่ 13 สิงหาคม 2567</t>
  </si>
  <si>
    <t>เดินทาง จาก สถาบันเทคโนโลยีจิตรลดา ไป-กลับ TRUE DIGITAL PARK
ถนนสุขุมวิท 101 เขตพระโขนง</t>
  </si>
  <si>
    <t>TM1637 ตัวแสดงผล LED 7 Segment 4 หลัก</t>
  </si>
  <si>
    <t>ตัวต้านทาน 1/4W Resistor ความต้านทาน 220 Ohm</t>
  </si>
  <si>
    <t>ตัวต้านทาน 1/4W Resistor ความต้านทาน 330 Ohm</t>
  </si>
  <si>
    <t>หลอด LED ขนาด 5 mm</t>
  </si>
  <si>
    <t>หลอด LED Infrared ความยาวคลื่น 940nm ขนาด 5 mm</t>
  </si>
  <si>
    <t>- เป็นโต๊ะเหลี่ยมผืนผ้า</t>
  </si>
  <si>
    <r>
      <rPr>
        <b/>
        <sz val="14"/>
        <rFont val="TH SarabunPSK"/>
        <family val="2"/>
      </rPr>
      <t xml:space="preserve">ขนาด : </t>
    </r>
    <r>
      <rPr>
        <sz val="14"/>
        <rFont val="TH SarabunPSK"/>
        <family val="2"/>
      </rPr>
      <t xml:space="preserve">ความกว้าง 150 เซนติเมตร x ความยาว 60 เซนติเมตร x ความสูง 75 เซนติเมตร </t>
    </r>
  </si>
  <si>
    <t>- เป็นโต๊ะคางหมู</t>
  </si>
  <si>
    <t>รศ.ดร.สุมาลี อุณหวณิขย์</t>
  </si>
  <si>
    <t xml:space="preserve">ชุดประกอบกล่อง Raspberry Pi 5 </t>
  </si>
  <si>
    <t xml:space="preserve">SD การ์ด 32GB </t>
  </si>
  <si>
    <t>อะแดปเตอร์ 5V 27W USB-C</t>
  </si>
  <si>
    <t>แผ่นระบายความร้อน Raspberry Pi 5</t>
  </si>
  <si>
    <t>จ้างเหมาบริการรถตู้ VAN</t>
  </si>
  <si>
    <t>ดร.ณัฐวดี ศรีคชา</t>
  </si>
  <si>
    <t>แบตเตอรี่ LifePO4 32140 ความจุ 15Ah</t>
  </si>
  <si>
    <t>Smart BMS 8S 50A</t>
  </si>
  <si>
    <t>กล่องใส่แบตเตอรี่</t>
  </si>
  <si>
    <t>lifepo4 Charger 29.2V 5A</t>
  </si>
  <si>
    <t>DC Circuit Breaker 1P 10A</t>
  </si>
  <si>
    <t>Borad Drive EV024X50</t>
  </si>
  <si>
    <t>DC-DC 10A Buck Step-Down Voltage Converter</t>
  </si>
  <si>
    <t>Cable Tie</t>
  </si>
  <si>
    <t>ปลั๊ก XT30</t>
  </si>
  <si>
    <t>500 GB SSD M.2 PCIe SANDISK PLUS G26</t>
  </si>
  <si>
    <t>ลำโพง 1.5 นิ้วขนาด 5W</t>
  </si>
  <si>
    <t>Arduino nano CH340 Atmega 328 P พร้อมสายเชื่อมต่อ</t>
  </si>
  <si>
    <t>counter module motor speed sensor</t>
  </si>
  <si>
    <t>Intel I350-T2V2 x4 Dual Port Gigabit Ethernet Card</t>
  </si>
  <si>
    <t xml:space="preserve">สมุดวาดรูป MASTER ART S-201 ขนาด 210-297มม. 140 กรัม 20 แผ่น </t>
  </si>
  <si>
    <t>กระดาษปรู๊ฟ ชนาด 16.2x23.4นิ้ว (A2)</t>
  </si>
  <si>
    <t>เทปกระดาษกาวนิตโต้ (NITTO) No.720</t>
  </si>
  <si>
    <t>กระดาษอาร์ตการ์ด แบบด้าน ขนาด A3 250กรัม 500แผ่น</t>
  </si>
  <si>
    <t xml:space="preserve">กระดาษ Drawing Paper น้ำหนัด 200gsm. 275x375มม. 15 แผ่น </t>
  </si>
  <si>
    <t>ปลั๊กไฟ TOSHINO TOUGH พร้อม ช่อง USB รุ่น TIS 515USB 5 ช่อง VCT3x1.5 ยาว 5 ม.</t>
  </si>
  <si>
    <t>น้ำยา 3D PRINTER UV CURABLE RESIN 500G 
CREALITY (TRN)</t>
  </si>
  <si>
    <t>น้ำยา 3D PRINTER UV CURABLE RESIN 500G 
CREALITY (ขาว)</t>
  </si>
  <si>
    <t>เทปลอกสติกเกอร์ฟู่ซุ่น Fun Shuen 20ซม.x100ม.</t>
  </si>
  <si>
    <t>สติ๊กเกอร์ สีเงิน (ม้วน) ขนาด 53ซม.x50ม.</t>
  </si>
  <si>
    <t>สติ๊กเกอร์ สีทอง (ม้วน) ขนาด 53ซม.x50ม.</t>
  </si>
  <si>
    <t>คัดเตอร์วงเวียน OLFA รุ่น CMP-1</t>
  </si>
  <si>
    <t>กระดาษหน้าขาวหลังเทา 270g ขนาด 54.6ซม.x78.4ซม.</t>
  </si>
  <si>
    <t>สมุดฉีก ขนาด 210x294มม. (A4) หนา 70แกรม 50แผ่น</t>
  </si>
  <si>
    <t>สมุดกราฟ Campus</t>
  </si>
  <si>
    <t>เทปเยื่อกาว 2 หน้า 6 มม.x10 หลา สก๊อตช์</t>
  </si>
  <si>
    <t>เทปเยื่อกาว 2 หน้า 18 มม.x10 หลา สก๊อตช์</t>
  </si>
  <si>
    <t>มีดคัตเตอร์ NT A-301RP สีพาสเทล คละสี</t>
  </si>
  <si>
    <t>ใบมีดคัตเตอร์ โอเพ่น เล็ก</t>
  </si>
  <si>
    <t>ที่รีดถุงพลาสติก ซีลอเนกประสงค์ รุ่น PFS-300</t>
  </si>
  <si>
    <t>สติกเกอร์ พีวีซี ใสถูกหลังเหลือง 53 x 70 ซม. แพ็ค20แผ่น</t>
  </si>
  <si>
    <t>จ้างพิมพ์งาน</t>
  </si>
  <si>
    <t>Cucumber RIS Gravitech ESP32-S2 WiFi Dev Board with Sensors</t>
  </si>
  <si>
    <t>i-Duino R4</t>
  </si>
  <si>
    <t>ESP32 NodeMCU ESP-WROOM-32 Wi-Fi and Bluetooth Module Dual Core Consumption 38P CP2102</t>
  </si>
  <si>
    <t>ESP32 NodeMCU ESP32-DevKitC ESP32-WROVER-IE Wi-Fi and Bluetooth Module Dual Core Consumption</t>
  </si>
  <si>
    <t>สายไฟเบอร ์22 AWG สีแดง</t>
  </si>
  <si>
    <t>สายไฟเบอร ์22 AWG สีดํา</t>
  </si>
  <si>
    <t>สายไฟเบอร ์22 AWG สีนํ้าเงิน</t>
  </si>
  <si>
    <t>แผ่นpcbไข่ปลา 5x7 cm</t>
  </si>
  <si>
    <t>สมุดวาดรูป สมุดสเก็ตซ์ S201 Master Art</t>
  </si>
  <si>
    <t>เทปนิตโต้ 720 (18mm*18m) (แพ็ค5ม้วน)</t>
  </si>
  <si>
    <t>สมุดวาดเขียน No.K.602 11x15 นิ้ว เรียบ</t>
  </si>
  <si>
    <t>น้ายาเรซิ่น สาหรับเครื่องพิมพิมพ์ 3D Magforms Crys100 Colorless Resin 1kg for LCD&amp;DLP Pritner Colorless Photopolymer</t>
  </si>
  <si>
    <t>เทปลอกสติกเกอร์หน้ากว้าง 20 ซม.ยาว100เมตร</t>
  </si>
  <si>
    <t>เทปลอกสติกเกอร์หน้ากว้าง 10 ซม.ยาว100เมตร</t>
  </si>
  <si>
    <t>เทปลอกสติกเกอร์หน้ากว้าง 5 ซม.ยาว100เมตร</t>
  </si>
  <si>
    <t>สติ๊กเกอร์ PVC ขนาด กว้าง 61 เซนติเมตร สีเงินแฮร์ไลน์</t>
  </si>
  <si>
    <t>สติ๊กเกอร์ PVC ขนาด กว้าง 61 เซนติเมตร สีทองแฮร์ไลน์</t>
  </si>
  <si>
    <t>มีดคัตเตอร์วงเวียน OLFA รุ่น CMP-1</t>
  </si>
  <si>
    <t>กระดาษเทาขาว ขนาด 54.61 x 78.74 ซม. ความหนา 270 แกรม (แพ็ค100แผ่น)</t>
  </si>
  <si>
    <t>สมุดฉีก ตราช้าง P-801E ขนาด A4 70แกรม 50 แผ่น</t>
  </si>
  <si>
    <t>สมุดคัดจีน CAMPUS 30S10-5 (ลิขสิทธิ์ แท้) นำเข้าจากญี่ปุ่น คละสี</t>
  </si>
  <si>
    <t>รางปลั๊กไฟ 5ช่อง 5 สวิตซ์ ยาว 5 ม. TIS515-5M 
ยี่ห้อTOSHINO</t>
  </si>
  <si>
    <t>น้ายาเรซิ่น สาหรับเครื่องพิมพิมพ์ 3D วัสดุการพิมพ์ Creality 3D Resin 
ล้างด้วยน้า Washable Resin Plus 1kg</t>
  </si>
  <si>
    <t>CANON CAL.F-789SGA (HB)</t>
  </si>
  <si>
    <t>หุ่นยนต์ Beam 2IR</t>
  </si>
  <si>
    <t>Baterry aa (8pcs)</t>
  </si>
  <si>
    <t>สนาม beam</t>
  </si>
  <si>
    <t>แป้ง (12pcs)</t>
  </si>
  <si>
    <t>PLA filament</t>
  </si>
  <si>
    <t>Airbuble</t>
  </si>
  <si>
    <t>เทปพันสายไฟ 3M 150 (10pcs)</t>
  </si>
  <si>
    <t>เทปใส</t>
  </si>
  <si>
    <t>กล่องใส่อุปกรณ์ขนาดเล็ก</t>
  </si>
  <si>
    <t>ชุดป้ายชื่อ (50 pcs)</t>
  </si>
  <si>
    <t>ปากกาเมจิ</t>
  </si>
  <si>
    <t>ดินสอ</t>
  </si>
  <si>
    <t>สีไม้</t>
  </si>
  <si>
    <t>ชุดไขควงอเนกประสงค์ (31 in 1)</t>
  </si>
  <si>
    <t>Arduino UNO R4 WIFI Basic Kit Learning Project Starter Kit</t>
  </si>
  <si>
    <t>Jumper Wires male – to–male ยาว 10 cm</t>
  </si>
  <si>
    <t>Jumper Wires male – to–female ยาว 10 cm</t>
  </si>
  <si>
    <t>Jumper Wires female – to–female ยาว 10 cm</t>
  </si>
  <si>
    <t>LED 3mm Blue</t>
  </si>
  <si>
    <t>LED 3mm Green</t>
  </si>
  <si>
    <t>LED 3mm Yellow</t>
  </si>
  <si>
    <t>LED 3mm White</t>
  </si>
  <si>
    <t>LED 3mm Orange</t>
  </si>
  <si>
    <t>LED 3mm Red</t>
  </si>
  <si>
    <t>Resistors (ตัวต้านทาน) แบบ Pack 30 ค่าละ 20 ตัว
10Ω 22Ω 47Ω 100Ω 150Ω 200Ω 220Ω 270Ω 330Ω 470Ω 510Ω 680Ω 1KΩ 2KΩ 2.2KΩ 3.3KΩ 4.7KΩ 5.1KΩ 6.8KΩ6.8KΩ 10KΩ 20KΩ 47KΩ 51KΩ 68KΩ 100KΩ 220KΩ 300KΩ 470KΩ 680KΩ 1MΩ</t>
  </si>
  <si>
    <t>Photoresistors (LDR) แบบ 4 pins</t>
  </si>
  <si>
    <t>Soil Moisture Sensor</t>
  </si>
  <si>
    <t>Ultrasonic Sensor (HC-SR04)</t>
  </si>
  <si>
    <t>Micro Servo Motor (SG90)</t>
  </si>
  <si>
    <t>7-Segment Display (TM1637) 4 bits (อักษรสีแดง)</t>
  </si>
  <si>
    <t>LCD Display (16x2 – I2C) แสดงผล 16 ตัวอักษร 2 บรรทัด</t>
  </si>
  <si>
    <t>DC Motors + Motor Driver Module (L298N)</t>
  </si>
  <si>
    <t>สายต่อ USB-C MALE TO USB-A 3.0 FEMALE OTG CABLE</t>
  </si>
  <si>
    <t>Battery Holders (ขนาด AA) (รางถ่าน)ขนาด 1,2,3,4 ก้อน</t>
  </si>
  <si>
    <t>PH Sensor RS485</t>
  </si>
  <si>
    <t>AM2306 เซ็นเซอร์วัดอุณหภูมิและความชื้น ใช้งานภายนอก</t>
  </si>
  <si>
    <t>พัดลมระบายความร้อน 70x70x25mm 12V</t>
  </si>
  <si>
    <t>เซ็นเซอร์วัดความชื้นในดิน สายยาว 5 เมตร</t>
  </si>
  <si>
    <t>mini pump 2 รู</t>
  </si>
  <si>
    <t>คีมย้าหางปลา คีมย้าสายไฟ SN-06WF</t>
  </si>
  <si>
    <t>กล่องใส่อุปกรณ์</t>
  </si>
  <si>
    <t>TT Motor</t>
  </si>
  <si>
    <t>ล้อเล็ก TT Motor</t>
  </si>
  <si>
    <t>IR Sensor Module</t>
  </si>
  <si>
    <t>Board iBeam</t>
  </si>
  <si>
    <t>สายมอเตอร์</t>
  </si>
  <si>
    <t>ขั้วแบต XT30</t>
  </si>
  <si>
    <t>สายเซ็นเซอร์</t>
  </si>
  <si>
    <t>Screw M3x30</t>
  </si>
  <si>
    <t>Screw M3x10</t>
  </si>
  <si>
    <t>Nut M3</t>
  </si>
  <si>
    <t>Cap Nut M3</t>
  </si>
  <si>
    <t>แบต GN 2S 450mAh 80C HV</t>
  </si>
  <si>
    <t>เสารองปริ้น ทองเหลือง M3x15</t>
  </si>
  <si>
    <t>PLA Max Filament</t>
  </si>
  <si>
    <t>Cable tire 3x200mm</t>
  </si>
  <si>
    <t>ที่ชาร์จแบต lipo</t>
  </si>
  <si>
    <t>เพาเวอร ์ปลั๊กตัวเมีย HACO 3 PIN 213-6V</t>
  </si>
  <si>
    <t>เพาเวอร ์ปลั๊กตัวผู้ HACO 3 PIN013-6V</t>
  </si>
  <si>
    <t>สายไฟ VCT IEC53 YAZAKI 3x2.5 สีดํา</t>
  </si>
  <si>
    <t>"QUBIX" P1711 ปลั๊กยางตัวผู้มีแคล้มรัด 2P 3W 20A 250VAC</t>
  </si>
  <si>
    <t>เทปกาว 2 หน้า แรงยึดติดสูง 3M สําหรับภายนอก 19 มม. x 4 ม.</t>
  </si>
  <si>
    <t>Threebees PETG เส้น 3D Filament ขนาด 1.75 มม. สีขาว</t>
  </si>
  <si>
    <t>Threebees PETG เส้น 3D Filament ขนาด 1.75 มม. สีเหลือง</t>
  </si>
  <si>
    <t>Threebees PETG เส้น 3D Filament ขนาด 1.75 มม Night Blue</t>
  </si>
  <si>
    <t>Threebees PETG เส้น 3D Filament ขนาด 1.75 มม.สีเทา GREY</t>
  </si>
  <si>
    <t>ค่าบริการรถบัสปรับอากาศ 30 ที่นั่ง</t>
  </si>
  <si>
    <t>เดินทางวันที่ 29 พฤษภาคม 2568</t>
  </si>
  <si>
    <t xml:space="preserve">เดินทาง จาก สถาบันเทคโนโลยีจิตรลดา - ศูนย์สร้างสรรค์งานออกแบบ (TCDC) </t>
  </si>
  <si>
    <t>อาคารไปรษณีย์กลาง ถ.เจริญกรุง (ไป-กลับ)</t>
  </si>
  <si>
    <t>DEWALT สว่านกระแทกไร้สาย รุ่น DCD706D2</t>
  </si>
  <si>
    <t>DEWALT แบตเตอรี่ 2.0 Ah 2 ก้อนและแท่นชาร์จ</t>
  </si>
  <si>
    <t>ชุดดอกไขควงพร้อมก้านต่อแบบแม่เหล็ก BOSCH รุ่น 2607017335 (แพ็ก 12 ชิ้น)</t>
  </si>
  <si>
    <t>ดอกสว่านไฮสปีด JIS Ø2 mm NACHI</t>
  </si>
  <si>
    <t>สกรูเกลียวปล่อยหัวเตเปอร์(เกลียวหุน) 7 x 1 นิ้ว (แพ็ก 100 ตัว)</t>
  </si>
  <si>
    <t>ตลับเมตร STANLEY รุ่น GLOBALTAPE 30 - 496N 
ขนาด 5 เมตร x 19 มม. สีเหลือง</t>
  </si>
  <si>
    <t>ดอกโฮลซอว์เจาะเหล็กคาร์ไบด์ขนาด 22 มม.</t>
  </si>
  <si>
    <t>ดอกโฮลซอว์เจาะเหล็กคาร์ไบด์ขนาด 26 มม.</t>
  </si>
  <si>
    <t>เทปผ้า NUVO รุ่น 666 ขนาด 24 มม. x 8 หลา สีแดง</t>
  </si>
  <si>
    <t>กรรไกรตัดท่อพีวีซี PUMPKIN รุ่น 33624 ขนาด 42</t>
  </si>
  <si>
    <t>โครงเลื่อย 12" PUMPKIN</t>
  </si>
  <si>
    <t>ใบเลื่อยตัดเหล็ก ECLIPSE ขนาด 1/2 นิ้ว 24ฟัน</t>
  </si>
  <si>
    <t>เครื่องเป่าลมร้อน 2,000 วัตต์STANLEY รุ่น STEL670-B1</t>
  </si>
  <si>
    <t>สปริงดัดท่อ ขนาด 16 มม.</t>
  </si>
  <si>
    <t>ข้อต่อตรง 20 มม. สีขาว แพ็ก 10 ชิ้น</t>
  </si>
  <si>
    <t>ข้อต่อตรง 25 มม. สีขาว แพ็ก 20 ชิ้น</t>
  </si>
  <si>
    <t>กล่องพักสาย 6x6 นิ้ว สีขาว</t>
  </si>
  <si>
    <t>กล่องพักสาย 4x4 นิ้ว สีขาว</t>
  </si>
  <si>
    <t>กล่องพักสาย 4x2 นิ้ว สีขาว</t>
  </si>
  <si>
    <t>รางวายเวย์ 4040W ขนาด 2 เมตร สีขาว</t>
  </si>
  <si>
    <t>รางวายเวย์ 3030W ขนาด 2 เมตร สีขาว</t>
  </si>
  <si>
    <t>ท่อตรง PVC 20 มม. 2.90 ม. สีขาว</t>
  </si>
  <si>
    <t>ท่อตรง PVC 25 มม. 2.90 ม. สีขาว</t>
  </si>
  <si>
    <t>Wall Box 2x4 ลึก 38mm. LINK (US-2015WH) 'White'</t>
  </si>
  <si>
    <t>Jack RJ45 CAT6 LINK (US-1006SL) 'White'</t>
  </si>
  <si>
    <t>Face Plate หน้ากาก 1 ช่อง มีป้ ายชื่อ LINK (US-2001AWH)</t>
  </si>
  <si>
    <t>USB TO RJ45 CONSOLE CABLE สําหรับ Cisco Routers / AP Router / Switch / Windows</t>
  </si>
  <si>
    <t>Converter USB 3.0 TO LAN TP-LINK (UE306)</t>
  </si>
  <si>
    <t>Micro HDMI to Standard HDMI (A/M) 1 Cable-BLACK Raspberry Pi Official</t>
  </si>
  <si>
    <t>USB TO RJ45 CONSOLE CABLE สำหรับ Cisco Routers/AP Router / Switch / Windows</t>
  </si>
  <si>
    <t>Micro SD Card SANDISK Ultra SDSQUAB-064G-GN6MN</t>
  </si>
  <si>
    <t>Converter Type-C + USB TO LAN JP (JPUCR)</t>
  </si>
  <si>
    <t>5.1V 3A Type-C Offcial Raspberry Pi4 Power Supply - EU BLACK</t>
  </si>
  <si>
    <t xml:space="preserve">Converter VGA TO HDMI </t>
  </si>
  <si>
    <t>เดินทางจาก สถาบันเทคโนโลยีจิตรลดา - วัดกฤษณเวฬุพุทธาราม</t>
  </si>
  <si>
    <t>(วัดไผ่ดำ) ต.ทองเอน อ.อินทร์บุรี จ.สิงห์บุรี (ไป-กลับ</t>
  </si>
  <si>
    <t>วันที่ 10 และ 14 กรกฎาคม 2568 (รวม 2 วัน)</t>
  </si>
  <si>
    <t>(1,800 บาท/คัน x 2 คัน/วัน x 2 วัน)</t>
  </si>
  <si>
    <t>วัสดุและอุปกรณ์ เช่น หลอดไฟ สายไฟ เทปพันสายไฟ ขั้วหลอดไฟ เป็นต้น</t>
  </si>
  <si>
    <t>จ้างเหมาบริการรถโดยสารปรับอากาศ VIP 2 ชั้น</t>
  </si>
  <si>
    <t xml:space="preserve">พร้อมพนักงานขับรถ เดินทาง ไป-กลับ </t>
  </si>
  <si>
    <t>เส้นทาง กทม.ฯ - เพชรบุรี</t>
  </si>
  <si>
    <t>ระหว่างวันที่ 24-26 กรกฎาคม 2568</t>
  </si>
  <si>
    <t>ผศ.ดร.ดำรงค์ฤทธิ์ เศรษฐ์ศิริโชค</t>
  </si>
  <si>
    <t>Dell Edge Gateway 5000-Commercial Specifications</t>
  </si>
  <si>
    <t>Dell 22 Monitor-SE2225HM 21.5"</t>
  </si>
  <si>
    <t>LoRaWAN Gateway</t>
  </si>
  <si>
    <t>คณะกรรมการตรวจรับพัสดุ</t>
  </si>
  <si>
    <t>ค่า Subscription โปรแกรม ai สร้างภาพเคลื่นไหวประกอบเสียงพูด (video)</t>
  </si>
  <si>
    <t>ค่า Subscription โปรแกรม ai สร้างภาพนิ่ง (Photo Editor, Image Generator)</t>
  </si>
  <si>
    <t>ค่า Subscription โปรแกรม ai Image to Image, Image to VDO</t>
  </si>
  <si>
    <t>Raspberry Pi 5 8GB</t>
  </si>
  <si>
    <t>Raspberry Pi USB-C PD 27W PSU - EU Plug</t>
  </si>
  <si>
    <t>Official Raspberry Pi 5 Case, Red/White</t>
  </si>
  <si>
    <t>Raspberry Pi 5 Heatsink and Active Cooler</t>
  </si>
  <si>
    <t>Raspberry Pi 32GB Class A2 microSD</t>
  </si>
  <si>
    <t>OLED 1.3</t>
  </si>
  <si>
    <t>ESP32</t>
  </si>
  <si>
    <t>กล่องอเนกประสงค์</t>
  </si>
  <si>
    <t>สายไฟเดี่ยว แกนเเข็ง 22AWG (แดง ดำ น้ำเงิน)</t>
  </si>
  <si>
    <t>WEBCAM ELGATO FACECAM NEO (10WAE9901)</t>
  </si>
  <si>
    <t>Cable HDMI (V.1.4) M/M (1.8M) TOP TECH สีดำ</t>
  </si>
  <si>
    <t>Micro HDMI TO Cable HDMI 4K (V.2.0) UGREEN 30102</t>
  </si>
  <si>
    <t xml:space="preserve">เดินทางจาก สถาบันเทคโนโลยีจิตรลดา - โรงเรียนนายร้อยพระจอมเกล้าฯ 
จ.นครนายก </t>
  </si>
  <si>
    <t xml:space="preserve"> ไปส่ง วันที่ 8 พฤศจิกายน 2568 และ รับกลับ วันที่ 15 พฤศจิกายน 2568</t>
  </si>
  <si>
    <t>( รถตู้ 2 คัน x 1,800 บาท/คัน x 2 วัน)</t>
  </si>
  <si>
    <t>2 คัน</t>
  </si>
  <si>
    <t>1,800 บาท/คัน/วัน</t>
  </si>
  <si>
    <t>Raspberry Pi 5 Computer with 16GB RAM</t>
  </si>
  <si>
    <t>Raspberry Pi USB-C PD 27W PSU - US - Black</t>
  </si>
  <si>
    <t>PCIe Metal Case for Raspberry Pi 5</t>
  </si>
  <si>
    <t>Official Raspberry Pi 5 Heatsink และ Active Cooler</t>
  </si>
  <si>
    <t>Official Raspberry Pi Micro-HDMI to Standard HDMI</t>
  </si>
  <si>
    <t>Cucumber RIS Gravitech ESP32-S2 WiFi Dev Board</t>
  </si>
  <si>
    <t>with Sensors</t>
  </si>
  <si>
    <t>RPi 4 Aluminum Heatsink Case with Dual Fan</t>
  </si>
  <si>
    <t>Arduino UNO R4</t>
  </si>
  <si>
    <t>DP to HDMI (F) Adapter (40362)</t>
  </si>
  <si>
    <t>USB Type C Cable (1 Meter)</t>
  </si>
  <si>
    <t xml:space="preserve">Raspberry Pi Camera Module 3 - 12MP with Auto Focus and NoIR 75 </t>
  </si>
  <si>
    <t>64GB Micro SD Card SANDISK Extreme SDSQXAH-064G-GN6MN</t>
  </si>
  <si>
    <t>250 GB SSD M.2 SATA WD BLUE 3D NAND (WDS250G3B0B)</t>
  </si>
  <si>
    <t>RAM 8 GB DDR4-2400 Sodimm</t>
  </si>
  <si>
    <t>Card Reader External TRANSCEND TCN-TS-RDC3 TYPE-C (BLACK)</t>
  </si>
  <si>
    <t>Wireless PCIe Adapter TP-LINK (Archer TX20E)</t>
  </si>
  <si>
    <t>Cable HDMI (V.1.4) M/M (1.8M) TOP TECH สายถักแดง</t>
  </si>
  <si>
    <t>6 in 1 Portable M.2 ZTEC ZD622</t>
  </si>
  <si>
    <t>Adapter 5V 4A DC Jack 2.1mm - EU Plug</t>
  </si>
  <si>
    <t>Battery Li-ion 11.46V 48Wh 4080mAh</t>
  </si>
  <si>
    <t>ThinkSystem 3.5" 8TB 7.2K SAS 12Gb Hot Swap 512e HDD</t>
  </si>
  <si>
    <t>เดินทางจาก สถาบันเทคโนโลยีจิตรลดา - อาคารซี ศูนย์ราชการฯ แจ้งวัฒนะ
สำนักงานคณะกรรมการรักษาความมั่นคงปลอดภัยไซเบอร์แห่งชาติ (ไป-กลับ)</t>
  </si>
  <si>
    <t>1,800 บาท/คัน</t>
  </si>
  <si>
    <t>วันพฤหัสบดี ที่ 5 กุมภาพันธ์ 2569</t>
  </si>
  <si>
    <t>นางสาวอรไท เครือทองศรี</t>
  </si>
  <si>
    <t>- จ้างเหมาบริการรถกระบะบรรทุกตู้ทึบ</t>
  </si>
  <si>
    <t>วันที่ 19 มีนาคม 2569 (ไปส่ง)</t>
  </si>
  <si>
    <t>เดินทางจาก สถาบันเทคโนโลยีจิตรลดา - ศูนย์การค้าเซ็นทรัลเวิลด์</t>
  </si>
  <si>
    <t>วันที่ 23 มีนาคม 2569 (รับกลับ)</t>
  </si>
  <si>
    <t>เดินทางจาก ศูนย์การค้าเซ็นทรัลเวิลด์ - สถาบันเทคโนโลยีจิตรลดา</t>
  </si>
  <si>
    <t>นายกฤษฎา พรหมสุทธิรักษ์</t>
  </si>
  <si>
    <t>9</t>
  </si>
  <si>
    <t xml:space="preserve">จ้างเหมาจัดทำชุดโครงสร้างบูธการแสดงผลงานปริญญานิพนธ์ </t>
  </si>
  <si>
    <t>จ้างพิมพ์ผ้าสำหรับโครงการสัมมนาวิชาการนักศึกษา และอบรมเพิ่มสมรรถนะ</t>
  </si>
  <si>
    <t>ผ้าพิมพ์ลาย</t>
  </si>
  <si>
    <t>(การแสดงผลงานปริญญานิพนธ์ ของนักศึกษาชั้นปีที่ 4 
สาขาออกแบบดิจิทัลและเทคโนโลยี)</t>
  </si>
  <si>
    <t>ผ้าแคนวาสพร้อมพิมพ์ลาย 1 ชิ้น</t>
  </si>
  <si>
    <t>40</t>
  </si>
  <si>
    <t>จ้างเหมาติดตั้งปูพรม สำหรับโครงการสัมมนาวิชาการนักศึกษา และอบรมเพิ่มสมรรถนะ</t>
  </si>
  <si>
    <t xml:space="preserve">	จ้างเหมาติดตั้งปูพรม ขนาด 61 ตร.ม. จำนวน 1 งาน</t>
  </si>
  <si>
    <t>1</t>
  </si>
  <si>
    <t>กล่องลิ้นชัก 1 ลิ้นชัก STACKO CK-71 40x35.8x21.2 ซม. สีขาว</t>
  </si>
  <si>
    <t>กล่องลิ้นชัก 2 ลิ้นชัก STACKO CK-72 40x35.8x21.2 ซม. สีขาว</t>
  </si>
  <si>
    <t>Arduino UNO Q, QRB2210/STM32U585, 4GB, ARM Cortex-A53/M33F</t>
  </si>
  <si>
    <t xml:space="preserve">เซอร์กิตเบรกเกอร์20 แอมป์ 2 โพล 10kA ABB S202M-C20 </t>
  </si>
  <si>
    <t xml:space="preserve">NANO เต้ารับคู่มีกราวน์ รุ่น NN-P604U </t>
  </si>
  <si>
    <t xml:space="preserve">ปลั๊กตัวผู้ 3 ขา SUMO PT-0123TH สีนํ้าเงิน </t>
  </si>
  <si>
    <t xml:space="preserve">สกรูเกลียวปล่อย TP DEXZON 7X1/2 นิ้ว 25 ตัว </t>
  </si>
  <si>
    <t xml:space="preserve">รางปีกนก Dinrail 5cm </t>
  </si>
  <si>
    <t xml:space="preserve">สกรูเกลียวมิลหัวเตเปอร์M4 x 45 มม. รุ่น JF-445 (แพ็ก 25 ตัว) สีซิงค์ขาว </t>
  </si>
  <si>
    <t xml:space="preserve">ลวดซับตะกั่ว Desolder wick ยี่ห้อ Pro Kit 9DP-031C </t>
  </si>
  <si>
    <t xml:space="preserve">TFT Display IPS 1.8 inch 7P SPI Full Color LCD Module ST7735 for Arduino </t>
  </si>
  <si>
    <t xml:space="preserve">TFT LCD ขนาด 1.8" Color module 128x160 SD Card Driver ST7735 สีแดง </t>
  </si>
  <si>
    <t xml:space="preserve">IC7476 (J K Flip Flop) </t>
  </si>
  <si>
    <t xml:space="preserve">IC7432 (OR GATE-2 Inputs) </t>
  </si>
  <si>
    <t xml:space="preserve">สวิตช์กดติด/กดดับ 7*7mm </t>
  </si>
  <si>
    <t>ก้างปลา 1x40 Pin 2.54 mm Single Row Pin Male Header</t>
  </si>
  <si>
    <t>ก้างปลา 1x40 Pin 2.54 mm 19MM Single Row Pin Male Header</t>
  </si>
  <si>
    <t>2004 LCD (Yellow Screen) 20x4 โมดูลจอแสดงผล LCD พร้อม I2C Interface</t>
  </si>
  <si>
    <t>2004 LCD (Blue Screen) 20x4 โมดูลจอแสดงผล LCD พร้อม I2C Interface</t>
  </si>
  <si>
    <t>IC7408 (AND GATE-2 Inputs)</t>
  </si>
  <si>
    <t>สวิตช์ปุ่มกดติดปล่อยดับ B3F ขนาด 12 * 12 * 7.3 mm หัวสีดํา</t>
  </si>
  <si>
    <t>สวิตช์ปุ่มกดติดปล่อยดับ B3F ขนาด 12 * 12 * 7.3 mm หัวสีนํ้าเงิน</t>
  </si>
  <si>
    <t>สวิตช์ปุ่มกดติดปล่อยดับ B3F ขนาด 12 * 12 * 7.3 mm หัวสีเขียว</t>
  </si>
  <si>
    <t>สวิตช์ปุ่มกดติดปล่อยดับ B3F ขนาด 12 * 12 * 7.3 mm หัวสีเหลือง</t>
  </si>
  <si>
    <t xml:space="preserve"> สวิตช์ปุ่มกดติดปล่อยดับ B3F ขนาด 12 * 12 * 7.3 mm หัวสีแดง</t>
  </si>
  <si>
    <t>7 segment 0.36" Common Cathode RED AS ลบร่วม สีแดง 1 หลัก</t>
  </si>
  <si>
    <t>7 segment 0.36" Common Anode RED BS บวกร่วม สีแดง 1 หลัก</t>
  </si>
  <si>
    <t>NE555 Square Wave Signal Generator Frequency &amp; Duty Cycle Adjustable</t>
  </si>
  <si>
    <t>Dupont female terminal 2.54mm ไส้ไก่ ตัวเมีย จํานวน 10 ชิ้น</t>
  </si>
  <si>
    <t>สกรูเกลียวปลอ่ยหัวเตเปอร์ 6x5/8 นิ้ว (แพ็ค 100 ตัว)</t>
  </si>
  <si>
    <t>เทปปิดกล่อง 48มม. X 40 ม.ใส</t>
  </si>
  <si>
    <t>บล็อกยางปลั๊กกราวค์คู่ + เบรกเกอร์ 6 ช่อง 4x6 น้ำตาล</t>
  </si>
  <si>
    <t>ฉากสแตนเลส 4 รู 65x65x19x2.0ม. 406 สแตนเลส (แพ็ค 4 ชิ้น)</t>
  </si>
  <si>
    <t>โคมไฟอ่านหนังสือแบบหนีบ 13.5x17.5x43.2ซม. สีขาว</t>
  </si>
  <si>
    <t>ฟิล์มยืดหุ้มห่ออาหาร  12"60ม.</t>
  </si>
  <si>
    <t>เชือกไนล่อนคละ 2.5x10m.</t>
  </si>
  <si>
    <t>BK DOUDLE SIDES TAPE 1s 18MMx20Y</t>
  </si>
  <si>
    <t>BK DOUDLE SIDES TAPE 1s 12MMx20Y</t>
  </si>
  <si>
    <t>ADJUSTABLE CABLE TIE 3.5x250 100S</t>
  </si>
  <si>
    <t>หลอดไฟ LED OPPLE E27 (แพ็ค 4 ชิ้น) 15W LED U1 A70 P4 Daylight</t>
  </si>
  <si>
    <t xml:space="preserve">พลาสติกกันกระแทก 0.65x10ม. </t>
  </si>
  <si>
    <t>คีมย้ำสายไฟ CR-V Workpro 8 นิ้ว</t>
  </si>
  <si>
    <t>เทปผ้า NUVO 48มม.x8หลา ดำ</t>
  </si>
  <si>
    <t>เทปพันสายไฟยางละลาย ดำ</t>
  </si>
  <si>
    <t>สายรัดสายไฟ 3.6x200, 8นิ้ว (แพ็ค 100 ชิ้น) สีขาว</t>
  </si>
  <si>
    <t>ไขควงวัดไฟ 5.5นิ้ว สีใส</t>
  </si>
  <si>
    <t>สกรูชิพบอร์ดหัวกลม เบอร์ 6x25มม. ซิงค์ขาว (แพ็ค 100 ตัว)</t>
  </si>
  <si>
    <t>รางปลั๊กไฟ 6 ช่อง 5.5ม.</t>
  </si>
  <si>
    <t>บล็อกยาง PVC พร้อมสายไฟ VCT 3x1.5 มีเบรคเกอร์กันดูด 4 ช่อง 10ม. ขาว-แดง</t>
  </si>
  <si>
    <t>สายไฟ NNN IEC53 VCT 2x1 Sq.mm. 100. ดำ</t>
  </si>
  <si>
    <t>สายไฟ THAIUNION VCT 2x2.5 Sq.mm. 50. ดำ</t>
  </si>
  <si>
    <t>ค้อนยางด้ามไม้ 16 ออนซ์ ดำ-ไม้</t>
  </si>
  <si>
    <t>ปืนยิงกาวซิลิโคน 9 นิ้ว แดง</t>
  </si>
  <si>
    <t>เทปกั้นเขต 70มม. X 50. เหลือ-ดำ</t>
  </si>
  <si>
    <t>ซิลิโคนยาแนว 280มล. ขาว</t>
  </si>
  <si>
    <t>สายคล้องคอสีดำ</t>
  </si>
  <si>
    <t>แม่เหล็ก</t>
  </si>
  <si>
    <t>ดอกสว่าน</t>
  </si>
  <si>
    <t>ปืนยิงกาวร้อน 120-240V 40W สีดำ</t>
  </si>
  <si>
    <t>กาวแท่ง 1/2นิ้ว x 30ซม. สีใส</t>
  </si>
  <si>
    <t>กระดาษการ์ด 150 แกรม A4 ขาว (50 แผ่น)</t>
  </si>
  <si>
    <t>เทปเยื่อกาวสองหน้าแกน 3 นิ้ว 18มม.x10หลา ขาว</t>
  </si>
  <si>
    <t>พลาสวูด ลานนา หนา 3มม. ขนาด 122x244ซม. (10แผ่น/แพ็ค)</t>
  </si>
  <si>
    <t>ค่าจ้างเหมาบริการรถบัสปรับอากาศ 44-50 ที่นั่ง</t>
  </si>
  <si>
    <t>เดินทางวันที่ 28 พฤษภาคม 2569</t>
  </si>
  <si>
    <t>จ้างเหมาบริการรถโดยสารปรับอากาศ VIP 2 ชั้น พร้อมพนักงานขับรถ</t>
  </si>
  <si>
    <t xml:space="preserve">เดินทางไปกลับ เส้นทาง สถาบันเทคโนโลยีจิตรลดา - จันทบุรี </t>
  </si>
  <si>
    <t>วันที่ 12 - 13 มิถุนายน 2569</t>
  </si>
  <si>
    <t>จ้างเหมาบริการรถตู้โดยสาร VIP พร้อมพนักงานขับรถ เดินทางไปกลับ</t>
  </si>
  <si>
    <t xml:space="preserve">เส้นทาง สถาบันเทคโนโลยีจิตรลดา - จันทบุรี </t>
  </si>
  <si>
    <t>รศ.ดร.อานนท์ รุ่งสว่าง</t>
  </si>
  <si>
    <t>รับจ้างเหมาบริการรถตู้ VAN</t>
  </si>
  <si>
    <t>เดินทางจาก สถาบันเทคโนโลยีจิตรลดา - กรมส่งเสริมวัฒนธรรม</t>
  </si>
  <si>
    <t>(ไป-กลับ) วันที่ 25 มิถุนายน 2569</t>
  </si>
  <si>
    <t>เดินทางจาก สถาบันเทคโนโลยีจิตรลดา - บ้านโซวเฮงไถ่ และชุมชนตลาดน้อย</t>
  </si>
  <si>
    <t>(ไป-กลับ) วันที่ 2 กรกฎาคม 2569</t>
  </si>
  <si>
    <t>ดินสอเขียนแบบ EE (กล่อง12แท่ง) สเต็ดเล่อร์ Lumograph</t>
  </si>
  <si>
    <t>มีดพับกระดาษ 6 นิ้ว BONE FOLDER</t>
  </si>
  <si>
    <t>เทปเยื่อกาว 2 หน้า 18 มม x 10 หลา สก๊อตช์</t>
  </si>
  <si>
    <t>กล่องอเนกประสงค์ พร้อมล้อและฝาล็อก 100 ลิตร สีขาว</t>
  </si>
  <si>
    <t>กล่องอเนกประสงค์ พร้อมล้อและฝาล็อก ขนาด 45 ลิตร สีขาว</t>
  </si>
  <si>
    <t>กล่องอเนกประสงค์ พร้อมล้อและฝาล็อก 15 ลิตร สีขาว</t>
  </si>
  <si>
    <t>เชือกฟาง คละสี (แพ็ค6ม้วน)</t>
  </si>
  <si>
    <t>HDMI Cable 4K 20M</t>
  </si>
  <si>
    <t>สาย FPC สําหรับกล้อง - 20 ซม.</t>
  </si>
  <si>
    <t>สกรูปลายสว่านคอมีครีบหัวเตเปอร์ (เกลียวหุน) 7 x 1 นิ้ว (50 ชิ้น/ถุง)</t>
  </si>
  <si>
    <t>ไขควงไฟฟ้าไร้สาย 3.6v</t>
  </si>
  <si>
    <t>ซิลิโคนนําความร้อน 6 กรัม</t>
  </si>
  <si>
    <t>Plug RJ45 CAT6 LINK (US-1002) 10/Pack</t>
  </si>
  <si>
    <t>Plug RJ45 CAT6 LINK (US-1002AA) 10/Pack</t>
  </si>
  <si>
    <t>Plug Boots CAT6 LINK (US-6625A) 10/Pack Yellow</t>
  </si>
  <si>
    <t xml:space="preserve"> Plug Boots CAT6 LINK (US-6624A) 10/Pack Blue</t>
  </si>
  <si>
    <t>LAN Professional Set of Tool &amp; Tester</t>
  </si>
  <si>
    <t>ค่าจ้างเหมาบริการรถบัสปรับอาหาศ 45-50 ที่นั่ง</t>
  </si>
  <si>
    <t>ชนบทบ้านลาด จ.เพชรบุรี (ไป-กลับ)</t>
  </si>
  <si>
    <t>วันที่ 25-26 กรกฎาคม 2569</t>
  </si>
  <si>
    <t>เดินทางจาก สถาบันเทคโนโลยีจิตรลดา - สวนป่านหนองซอ ท่ายาง จ.เพชรบุรี,</t>
  </si>
  <si>
    <t>สวิทช์ทางเดียว WEG5001K (Panasonic)</t>
  </si>
  <si>
    <t>สวิทช์ 2 ทาง WEG5002K (Panasonic)</t>
  </si>
  <si>
    <t>ฝาพลาสติก 3 ช่อง WEG6803WK (Panasonic)</t>
  </si>
  <si>
    <t>ปลั๊กกราวด์คู่ WEG15929 (Panasonic)</t>
  </si>
  <si>
    <t>ฝาพลาสติก 2 ช่อง WEG6802WK (Panasonic)</t>
  </si>
  <si>
    <t>ฝาพลาสติก 1 ช่อง WEG6801WK (Panasonic)</t>
  </si>
  <si>
    <t>เทป Temflex 150 19mmx10m. (3M)</t>
  </si>
  <si>
    <t>โคมโรงงาน AURA I 1xT8 LED-C 1200mm. (ไฟเข้า 2 ทาง + รเฟล็กสะท้อนเงา</t>
  </si>
  <si>
    <t>หลอดแอลอีดีทิวบ์ ดับเบิ้ลเอ็นด์ 1200มม. 22วัตต์ 6500K T8 (PHILIPS)</t>
  </si>
  <si>
    <t>หลอดเอสเซนเซียลแอลอีดี บัล์บ A60 11วัตต์ E27 6500K (PHILIPS)</t>
  </si>
  <si>
    <t>โคมฟลัดไลท์แอลอีดี รุ่น Best 30 วัตต์ เดย์ไลท์ (EVE)</t>
  </si>
  <si>
    <t>หลอดนีออน LED T8 Plus 2in1 40 วัตต์ 4900lm. แสงขาว (MZ)</t>
  </si>
  <si>
    <t>โคมกันฝน 1X40 W LED-C (ไฟเข้า 2 ทาง) (LUNAR)</t>
  </si>
  <si>
    <t>สายไฟ THW 1.5</t>
  </si>
  <si>
    <t>สายไฟ THW 2.5</t>
  </si>
  <si>
    <t>สายไฟ THW 10</t>
  </si>
  <si>
    <t>ค่าจ้างเหมาบริการรถตู้ VIP พร้อมพนักงานขับรถ เดินทางไปกลับ</t>
  </si>
  <si>
    <t>เส้นทาง สถาบันเทคโนโลยีจิตรลดา - วัดกฤษณเวฬุพุทธาราม(วัดไผ่ดำ)</t>
  </si>
  <si>
    <t>ต.ทองเอน อ.อินทร์บุรี จ.สิงห์บุรี</t>
  </si>
  <si>
    <t>วันเสาร์ที่ 25 กรกฎาคม 2569</t>
  </si>
  <si>
    <t>วันศุกร์ ที่ 31 กรกฎาคม 2569</t>
  </si>
  <si>
    <t>เส้นทาง วัดกฤษณเวฬุพุทธาราม(วัดไผ่ดำ) - สถาบันเทคโนโลยีจิตรลดา</t>
  </si>
  <si>
    <t>PLA Filament 1000g</t>
  </si>
  <si>
    <t>GNB 1S 3.7V 4000Mah 5C/10C</t>
  </si>
  <si>
    <t>Waveshare ESP32-S3 3.5นิ้ว Touch LCD Touchscreen</t>
  </si>
  <si>
    <t>LoRa sx1262 (E22- 900T22D)</t>
  </si>
  <si>
    <t>Gyro BNO086</t>
  </si>
  <si>
    <t>Novamax Motor 400rpm</t>
  </si>
  <si>
    <t>Start Module</t>
  </si>
  <si>
    <t>รีโมทสั่งงานเริ่มต้นและหยุดสำหรับหุ่นยนต์</t>
  </si>
  <si>
    <t>TSSP4038</t>
  </si>
  <si>
    <t>VNH7040</t>
  </si>
  <si>
    <t>Attiny202</t>
  </si>
  <si>
    <t>TB67H450</t>
  </si>
  <si>
    <t>Silicone RA210 (1kg)</t>
  </si>
  <si>
    <t>Silicone oil (500g)</t>
  </si>
  <si>
    <t>สีผสมยางซิลิโคน (ดำา)</t>
  </si>
  <si>
    <t>บอร์ด hanuman mini</t>
  </si>
  <si>
    <t>Joy PS3 Wireless</t>
  </si>
  <si>
    <t>ESP32 Wemos Mini D1 ESP-32 CP2104</t>
  </si>
  <si>
    <t>AO4459</t>
  </si>
  <si>
    <t>ขั้วแบต XT30 ตัวเมีย</t>
  </si>
  <si>
    <t>mini Step down 5V</t>
  </si>
  <si>
    <t>switch SS-12D10</t>
  </si>
  <si>
    <t>Pin Header Female</t>
  </si>
  <si>
    <t>มอเตอร์ TT 1:48</t>
  </si>
  <si>
    <t>ล้อ TT Motor</t>
  </si>
  <si>
    <t>ชุดท่อหด 1,100 ชิ้น แบบกล่อง</t>
  </si>
  <si>
    <t>เสาทองเหลือง แบบกล่อง</t>
  </si>
  <si>
    <t>ลูกบอล ขนาด14cm. สำาหรับ หุ่นยนต์soccer 4x4</t>
  </si>
  <si>
    <t>โกลด์สำาหรับ หุ่นยนต์soccer 4x4</t>
  </si>
  <si>
    <t>เกลียวตัวผู้ขวด PET</t>
  </si>
  <si>
    <t>Pressure Gauge</t>
  </si>
  <si>
    <t>ท่อบีบเกลียว</t>
  </si>
  <si>
    <t>แผงให้ความร้อน</t>
  </si>
  <si>
    <t>Portable SSD 2 TB</t>
  </si>
  <si>
    <t>Harddisk External 2 TB</t>
  </si>
  <si>
    <t>สมุดคัดจีน CAMPUS 30S10-5 (ลิขสิทธิ์แท้) นําเข้าจากญี่ปุ่น คละสี</t>
  </si>
  <si>
    <t>เครื่องอ่านการ์ดสําหรับ GOOJODOQ 11 in 1 H90Pro ของแท้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</si>
</sst>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8">
    <font>
      <sz val="11"/>
      <color theme="1"/>
      <name val="Tahoma"/>
      <family val="2"/>
      <charset val="222"/>
      <scheme val="minor"/>
    </font>
    <font>
      <sz val="11"/>
      <color theme="1"/>
      <name val="Tahoma"/>
      <family val="2"/>
      <charset val="222"/>
      <scheme val="minor"/>
    </font>
    <font>
      <sz val="16"/>
      <color theme="1"/>
      <name val="TH SarabunPSK"/>
      <family val="2"/>
    </font>
    <font>
      <b/>
      <sz val="16"/>
      <color theme="1"/>
      <name val="TH SarabunPSK"/>
      <family val="2"/>
    </font>
    <font>
      <sz val="18"/>
      <color theme="1"/>
      <name val="TH SarabunPSK"/>
      <family val="2"/>
    </font>
    <font>
      <b/>
      <sz val="16"/>
      <color theme="1"/>
      <name val="TH SarabunPSK"/>
      <family val="2"/>
      <charset val="222"/>
    </font>
    <font>
      <b/>
      <sz val="16"/>
      <color theme="1"/>
      <name val="Franklin Gothic Medium"/>
      <family val="2"/>
    </font>
    <font>
      <sz val="10"/>
      <name val="Arial"/>
      <family val="2"/>
    </font>
    <font>
      <sz val="11"/>
      <color theme="1"/>
      <name val="Tahoma"/>
      <family val="2"/>
      <scheme val="minor"/>
    </font>
    <font>
      <sz val="16"/>
      <name val="TH SarabunPSK"/>
      <family val="2"/>
    </font>
    <font>
      <u val="singleAccounting"/>
      <sz val="18"/>
      <color theme="1"/>
      <name val="TH SarabunPSK"/>
      <family val="2"/>
    </font>
    <font>
      <b/>
      <u val="doubleAccounting"/>
      <sz val="18"/>
      <color theme="1"/>
      <name val="TH SarabunPSK"/>
      <family val="2"/>
    </font>
    <font>
      <b/>
      <sz val="16"/>
      <color rgb="FF202124"/>
      <name val="TH Sarabun New"/>
      <family val="2"/>
    </font>
    <font>
      <sz val="22"/>
      <color theme="1"/>
      <name val="TH SarabunPSK"/>
      <family val="2"/>
    </font>
    <font>
      <b/>
      <sz val="22"/>
      <color rgb="FF202124"/>
      <name val="TH Sarabun New"/>
      <family val="2"/>
    </font>
    <font>
      <sz val="16"/>
      <color theme="1"/>
      <name val="TH Sarabun New"/>
      <family val="2"/>
    </font>
    <font>
      <sz val="16"/>
      <color rgb="FF000000"/>
      <name val="TH Sarabun New"/>
      <family val="2"/>
    </font>
    <font>
      <u val="singleAccounting"/>
      <sz val="16"/>
      <color theme="1"/>
      <name val="TH Sarabun New"/>
      <family val="2"/>
    </font>
    <font>
      <b/>
      <sz val="16"/>
      <name val="TH SarabunPSK"/>
      <family val="2"/>
      <charset val="222"/>
    </font>
    <font>
      <sz val="16"/>
      <name val="TH SarabunPSK"/>
      <family val="2"/>
      <charset val="222"/>
    </font>
    <font>
      <sz val="18"/>
      <name val="TH SarabunPSK"/>
      <family val="2"/>
      <charset val="222"/>
    </font>
    <font>
      <u val="singleAccounting"/>
      <sz val="18"/>
      <name val="TH SarabunPSK"/>
      <family val="2"/>
      <charset val="222"/>
    </font>
    <font>
      <u val="doubleAccounting"/>
      <sz val="18"/>
      <name val="TH SarabunPSK"/>
      <family val="2"/>
      <charset val="222"/>
    </font>
    <font>
      <b/>
      <sz val="22"/>
      <name val="TH Sarabun New"/>
      <family val="2"/>
      <charset val="222"/>
    </font>
    <font>
      <sz val="22"/>
      <name val="TH SarabunPSK"/>
      <family val="2"/>
      <charset val="222"/>
    </font>
    <font>
      <sz val="16"/>
      <color theme="1"/>
      <name val="Wingdings 2"/>
      <family val="1"/>
      <charset val="2"/>
    </font>
    <font>
      <sz val="16"/>
      <color theme="1"/>
      <name val="TH SarabunPSK"/>
      <family val="1"/>
      <charset val="2"/>
    </font>
    <font>
      <b/>
      <sz val="16"/>
      <name val="TH SarabunPSK"/>
      <family val="2"/>
    </font>
    <font>
      <vertAlign val="superscript"/>
      <sz val="16"/>
      <name val="TH SarabunPSK"/>
      <family val="2"/>
    </font>
    <font>
      <sz val="14"/>
      <name val="TH SarabunPSK"/>
      <family val="2"/>
    </font>
    <font>
      <b/>
      <sz val="14"/>
      <name val="TH SarabunPSK"/>
      <family val="2"/>
    </font>
    <font>
      <sz val="14"/>
      <color theme="1"/>
      <name val="TH SarabunPSK"/>
      <family val="2"/>
      <charset val="222"/>
    </font>
    <font>
      <sz val="14"/>
      <color rgb="FF000000"/>
      <name val="TH SarabunIT๙"/>
      <family val="2"/>
      <charset val="222"/>
    </font>
    <font>
      <sz val="14"/>
      <name val="TH SarabunPSK"/>
      <family val="2"/>
      <charset val="222"/>
    </font>
    <font>
      <sz val="14"/>
      <color theme="1"/>
      <name val="TH SarabunPSK"/>
      <family val="2"/>
    </font>
    <font>
      <b/>
      <sz val="14"/>
      <color theme="1"/>
      <name val="TH SarabunPSK"/>
      <family val="2"/>
    </font>
    <font>
      <b/>
      <sz val="18"/>
      <color theme="1"/>
      <name val="TH SarabunPSK"/>
      <family val="2"/>
    </font>
    <font>
      <sz val="16"/>
      <color rgb="FF000000"/>
      <name val="TH SarabunPSK"/>
      <family val="2"/>
    </font>
    <font>
      <sz val="16"/>
      <color rgb="FF333333"/>
      <name val="TH Sarabun New"/>
      <family val="2"/>
    </font>
    <font>
      <sz val="16"/>
      <color theme="1"/>
      <name val="TH SarabunPSK"/>
      <family val="2"/>
      <charset val="222"/>
    </font>
    <font>
      <sz val="16"/>
      <color rgb="FF000000"/>
      <name val="TH SarabunPSK"/>
      <family val="2"/>
      <charset val="222"/>
    </font>
    <font>
      <sz val="16"/>
      <color rgb="FF000000"/>
      <name val="TH Sarabun New"/>
      <family val="2"/>
      <charset val="222"/>
    </font>
    <font>
      <sz val="16"/>
      <name val="TH Sarabun New"/>
      <family val="2"/>
      <charset val="222"/>
    </font>
    <font>
      <sz val="16"/>
      <color theme="1"/>
      <name val="TH Sarabun New"/>
      <family val="2"/>
      <charset val="222"/>
    </font>
    <font>
      <u val="singleAccounting"/>
      <sz val="16"/>
      <color theme="1"/>
      <name val="TH SarabunPSK"/>
      <family val="2"/>
      <charset val="222"/>
    </font>
    <font>
      <b/>
      <u val="doubleAccounting"/>
      <sz val="16"/>
      <color theme="1"/>
      <name val="TH SarabunPSK"/>
      <family val="2"/>
      <charset val="222"/>
    </font>
    <font>
      <b/>
      <sz val="16"/>
      <color rgb="FF202124"/>
      <name val="TH Sarabun New"/>
      <family val="2"/>
      <charset val="222"/>
    </font>
    <font>
      <u val="singleAccounting"/>
      <sz val="16"/>
      <color theme="1"/>
      <name val="TH SarabunPSK"/>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s>
  <cellStyleXfs count="6">
    <xf numFmtId="0" fontId="0" fillId="0" borderId="0"/>
    <xf numFmtId="0" fontId="1" fillId="0" borderId="0"/>
    <xf numFmtId="43" fontId="7" fillId="0" borderId="0" applyFont="0" applyFill="0" applyBorder="0" applyAlignment="0" applyProtection="0"/>
    <xf numFmtId="43" fontId="1" fillId="0" borderId="0" applyFont="0" applyFill="0" applyBorder="0" applyAlignment="0" applyProtection="0"/>
    <xf numFmtId="0" fontId="8" fillId="0" borderId="0"/>
    <xf numFmtId="43" fontId="1" fillId="0" borderId="0" applyFont="0" applyFill="0" applyBorder="0" applyAlignment="0" applyProtection="0"/>
  </cellStyleXfs>
  <cellXfs count="211">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5" fillId="0" borderId="4" xfId="0" applyFont="1" applyBorder="1" applyAlignment="1">
      <alignment horizontal="left"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left" vertical="center"/>
    </xf>
    <xf numFmtId="0" fontId="5" fillId="0" borderId="5" xfId="0" applyFont="1" applyBorder="1" applyAlignment="1">
      <alignment horizontal="center" vertical="center"/>
    </xf>
    <xf numFmtId="0" fontId="5" fillId="0" borderId="5" xfId="0" applyFont="1" applyBorder="1" applyAlignment="1">
      <alignment horizontal="left" vertical="center"/>
    </xf>
    <xf numFmtId="0" fontId="2" fillId="0" borderId="1" xfId="0" applyFont="1" applyBorder="1" applyAlignment="1">
      <alignment horizontal="center" vertical="top" wrapText="1"/>
    </xf>
    <xf numFmtId="0" fontId="9" fillId="0" borderId="1" xfId="0" applyFont="1" applyBorder="1" applyAlignment="1">
      <alignment wrapText="1"/>
    </xf>
    <xf numFmtId="0" fontId="9" fillId="0" borderId="1" xfId="1" applyFont="1" applyBorder="1" applyAlignment="1">
      <alignment horizontal="center" vertical="top" wrapText="1"/>
    </xf>
    <xf numFmtId="43" fontId="9" fillId="0" borderId="1" xfId="2" applyFont="1" applyBorder="1" applyAlignment="1">
      <alignment horizontal="right" vertical="top" wrapText="1"/>
    </xf>
    <xf numFmtId="43" fontId="2" fillId="0" borderId="1" xfId="0" applyNumberFormat="1" applyFont="1" applyBorder="1" applyAlignment="1">
      <alignment horizontal="right" vertical="top" wrapText="1"/>
    </xf>
    <xf numFmtId="0" fontId="2" fillId="0" borderId="1" xfId="0" applyFont="1" applyBorder="1" applyAlignment="1">
      <alignment horizontal="left" vertical="top" wrapText="1"/>
    </xf>
    <xf numFmtId="43" fontId="2" fillId="0" borderId="1" xfId="3" applyFont="1" applyFill="1" applyBorder="1" applyAlignment="1">
      <alignment horizontal="right" vertical="top" wrapText="1"/>
    </xf>
    <xf numFmtId="0" fontId="2" fillId="0" borderId="1" xfId="4" applyFont="1" applyBorder="1" applyAlignment="1">
      <alignment horizontal="center" vertical="top" wrapText="1"/>
    </xf>
    <xf numFmtId="0" fontId="2" fillId="0" borderId="1" xfId="1" applyFont="1" applyBorder="1" applyAlignment="1">
      <alignment horizontal="center" vertical="top" wrapText="1"/>
    </xf>
    <xf numFmtId="4" fontId="2" fillId="0" borderId="1" xfId="1" applyNumberFormat="1" applyFont="1" applyBorder="1" applyAlignment="1">
      <alignment horizontal="right" vertical="top" wrapText="1"/>
    </xf>
    <xf numFmtId="0" fontId="3" fillId="0" borderId="1" xfId="0" applyFont="1" applyBorder="1" applyAlignment="1">
      <alignment horizontal="right" vertical="center" wrapText="1"/>
    </xf>
    <xf numFmtId="0" fontId="2" fillId="0" borderId="1" xfId="0" applyFont="1" applyBorder="1" applyAlignment="1">
      <alignment horizontal="right" vertical="center" wrapText="1"/>
    </xf>
    <xf numFmtId="43" fontId="4" fillId="0" borderId="1" xfId="0" applyNumberFormat="1" applyFont="1" applyBorder="1" applyAlignment="1">
      <alignment horizontal="center" vertical="center"/>
    </xf>
    <xf numFmtId="43" fontId="10" fillId="0" borderId="1" xfId="0" applyNumberFormat="1" applyFont="1" applyBorder="1" applyAlignment="1">
      <alignment horizontal="center" vertical="center"/>
    </xf>
    <xf numFmtId="43" fontId="11" fillId="0" borderId="1" xfId="0" applyNumberFormat="1" applyFont="1" applyBorder="1" applyAlignment="1">
      <alignment horizontal="center" vertical="center"/>
    </xf>
    <xf numFmtId="0" fontId="12" fillId="0" borderId="1" xfId="0" applyFont="1" applyBorder="1" applyAlignment="1">
      <alignment horizontal="right" vertical="center"/>
    </xf>
    <xf numFmtId="0" fontId="14" fillId="0" borderId="1" xfId="0" applyFont="1" applyBorder="1" applyAlignment="1">
      <alignment horizontal="righ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top" wrapText="1"/>
    </xf>
    <xf numFmtId="0" fontId="9" fillId="0" borderId="1" xfId="0" applyFont="1" applyBorder="1" applyAlignment="1">
      <alignment vertical="center" wrapText="1"/>
    </xf>
    <xf numFmtId="0" fontId="2" fillId="0" borderId="1" xfId="0" applyFont="1" applyBorder="1" applyAlignment="1">
      <alignment horizontal="left" vertical="center" wrapText="1"/>
    </xf>
    <xf numFmtId="0" fontId="9" fillId="0" borderId="1" xfId="0" applyFont="1" applyBorder="1" applyAlignment="1">
      <alignment vertical="top" wrapText="1"/>
    </xf>
    <xf numFmtId="0" fontId="2" fillId="0" borderId="6" xfId="0" applyFont="1" applyBorder="1" applyAlignment="1">
      <alignment horizontal="center" vertical="center"/>
    </xf>
    <xf numFmtId="0" fontId="9" fillId="0" borderId="1" xfId="1" applyFont="1" applyBorder="1" applyAlignment="1">
      <alignment horizontal="center" vertical="center" wrapText="1"/>
    </xf>
    <xf numFmtId="43" fontId="9" fillId="0" borderId="1" xfId="2" applyFont="1" applyBorder="1" applyAlignment="1">
      <alignment horizontal="right" vertical="center" wrapText="1"/>
    </xf>
    <xf numFmtId="43" fontId="2" fillId="0" borderId="1" xfId="0" applyNumberFormat="1" applyFont="1" applyBorder="1" applyAlignment="1">
      <alignment horizontal="right" vertical="center" wrapText="1"/>
    </xf>
    <xf numFmtId="0" fontId="2" fillId="0" borderId="1" xfId="0" applyFont="1" applyBorder="1" applyAlignment="1">
      <alignment horizontal="center" vertical="top"/>
    </xf>
    <xf numFmtId="43" fontId="2" fillId="0" borderId="1" xfId="5" applyFont="1" applyBorder="1" applyAlignment="1">
      <alignment horizontal="center" vertical="top"/>
    </xf>
    <xf numFmtId="0" fontId="9" fillId="0" borderId="5" xfId="0" applyFont="1" applyBorder="1" applyAlignment="1">
      <alignment vertical="center" wrapText="1"/>
    </xf>
    <xf numFmtId="0" fontId="2" fillId="0" borderId="1" xfId="0" applyFont="1" applyBorder="1" applyAlignment="1">
      <alignment horizontal="left" vertical="top"/>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6" fillId="0" borderId="1" xfId="0" applyFont="1" applyBorder="1" applyAlignment="1">
      <alignment vertical="center"/>
    </xf>
    <xf numFmtId="43" fontId="15" fillId="0" borderId="1" xfId="5" applyFont="1" applyBorder="1" applyAlignment="1">
      <alignment horizontal="center" vertical="center"/>
    </xf>
    <xf numFmtId="0" fontId="16" fillId="0" borderId="1" xfId="0" applyFont="1" applyBorder="1" applyAlignment="1">
      <alignment horizontal="left" vertical="center"/>
    </xf>
    <xf numFmtId="0" fontId="9" fillId="0" borderId="1" xfId="0" applyFont="1" applyBorder="1" applyAlignment="1">
      <alignment horizontal="left" vertical="center" wrapText="1"/>
    </xf>
    <xf numFmtId="43" fontId="9" fillId="0" borderId="1" xfId="5" applyFont="1" applyBorder="1" applyAlignment="1">
      <alignment horizontal="right" vertical="top" wrapText="1"/>
    </xf>
    <xf numFmtId="43" fontId="17" fillId="0" borderId="1" xfId="5" applyFont="1" applyBorder="1" applyAlignment="1">
      <alignment horizontal="center" vertical="center"/>
    </xf>
    <xf numFmtId="0" fontId="18" fillId="0" borderId="4" xfId="0" applyFont="1" applyBorder="1" applyAlignment="1">
      <alignment horizontal="center" vertical="center"/>
    </xf>
    <xf numFmtId="0" fontId="18" fillId="0" borderId="4" xfId="0" applyFont="1" applyBorder="1" applyAlignment="1">
      <alignment horizontal="center" vertical="center" wrapText="1"/>
    </xf>
    <xf numFmtId="0" fontId="18" fillId="0" borderId="5" xfId="0" applyFont="1" applyBorder="1" applyAlignment="1">
      <alignment horizontal="center" vertical="center"/>
    </xf>
    <xf numFmtId="0" fontId="19" fillId="0" borderId="1" xfId="0" applyFont="1" applyBorder="1" applyAlignment="1">
      <alignment horizontal="center" vertical="top" wrapText="1"/>
    </xf>
    <xf numFmtId="0" fontId="19" fillId="0" borderId="1" xfId="0" applyFont="1" applyBorder="1" applyAlignment="1">
      <alignment wrapText="1"/>
    </xf>
    <xf numFmtId="0" fontId="19" fillId="0" borderId="1" xfId="1" applyFont="1" applyBorder="1" applyAlignment="1">
      <alignment horizontal="center" vertical="top" wrapText="1"/>
    </xf>
    <xf numFmtId="43" fontId="19" fillId="0" borderId="1" xfId="2" applyFont="1" applyBorder="1" applyAlignment="1">
      <alignment horizontal="right" vertical="top" wrapText="1"/>
    </xf>
    <xf numFmtId="43" fontId="19" fillId="0" borderId="1" xfId="0" applyNumberFormat="1" applyFont="1" applyBorder="1" applyAlignment="1">
      <alignment horizontal="center" vertical="top" wrapText="1"/>
    </xf>
    <xf numFmtId="0" fontId="18" fillId="0" borderId="1" xfId="0" applyFont="1" applyBorder="1" applyAlignment="1">
      <alignment horizontal="left" vertical="top" wrapText="1"/>
    </xf>
    <xf numFmtId="43" fontId="19" fillId="0" borderId="1" xfId="0" applyNumberFormat="1" applyFont="1" applyBorder="1" applyAlignment="1">
      <alignment horizontal="right" vertical="top" wrapText="1"/>
    </xf>
    <xf numFmtId="0" fontId="19" fillId="0" borderId="1" xfId="0" applyFont="1" applyBorder="1" applyAlignment="1">
      <alignment horizontal="left" vertical="top" wrapText="1"/>
    </xf>
    <xf numFmtId="0" fontId="18" fillId="0" borderId="1" xfId="0"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19" fillId="0" borderId="1" xfId="0" applyFont="1" applyBorder="1" applyAlignment="1">
      <alignment horizontal="right" vertical="center" wrapText="1"/>
    </xf>
    <xf numFmtId="43" fontId="20" fillId="0" borderId="1" xfId="0" applyNumberFormat="1" applyFont="1" applyBorder="1" applyAlignment="1">
      <alignment horizontal="center" vertical="center"/>
    </xf>
    <xf numFmtId="43" fontId="21" fillId="0" borderId="1" xfId="0" applyNumberFormat="1" applyFont="1" applyBorder="1" applyAlignment="1">
      <alignment horizontal="center" vertical="center"/>
    </xf>
    <xf numFmtId="0" fontId="18" fillId="0" borderId="1" xfId="0" applyFont="1" applyBorder="1" applyAlignment="1">
      <alignment horizontal="right" vertical="center" wrapText="1"/>
    </xf>
    <xf numFmtId="43" fontId="22" fillId="0" borderId="1" xfId="0" applyNumberFormat="1" applyFont="1" applyBorder="1" applyAlignment="1">
      <alignment horizontal="center" vertical="center"/>
    </xf>
    <xf numFmtId="0" fontId="23" fillId="0" borderId="1" xfId="0" applyFont="1" applyBorder="1" applyAlignment="1">
      <alignment horizontal="right" vertical="center"/>
    </xf>
    <xf numFmtId="0" fontId="3" fillId="0" borderId="1" xfId="0" applyFont="1" applyBorder="1" applyAlignment="1">
      <alignment horizontal="left" vertical="center" wrapText="1"/>
    </xf>
    <xf numFmtId="0" fontId="26" fillId="0" borderId="1" xfId="0" applyFont="1" applyBorder="1" applyAlignment="1">
      <alignment horizontal="left" vertical="center"/>
    </xf>
    <xf numFmtId="0" fontId="27" fillId="0" borderId="1" xfId="0" applyFont="1" applyBorder="1" applyAlignment="1">
      <alignment wrapText="1"/>
    </xf>
    <xf numFmtId="0" fontId="19" fillId="0" borderId="1" xfId="0" applyFont="1" applyBorder="1" applyAlignment="1">
      <alignment vertical="center" wrapText="1"/>
    </xf>
    <xf numFmtId="0" fontId="19" fillId="0" borderId="1" xfId="0" applyFont="1" applyBorder="1" applyAlignment="1">
      <alignment horizontal="center" vertical="center" wrapText="1"/>
    </xf>
    <xf numFmtId="0" fontId="18" fillId="0" borderId="1" xfId="0" applyFont="1" applyBorder="1" applyAlignment="1">
      <alignment horizontal="left" vertical="center" wrapText="1"/>
    </xf>
    <xf numFmtId="0" fontId="19" fillId="0" borderId="1" xfId="0" applyFont="1" applyBorder="1" applyAlignment="1">
      <alignment horizontal="left" vertical="center" wrapText="1"/>
    </xf>
    <xf numFmtId="0" fontId="19" fillId="0" borderId="1" xfId="1" applyFont="1" applyBorder="1" applyAlignment="1">
      <alignment horizontal="center" vertical="center" wrapText="1"/>
    </xf>
    <xf numFmtId="43" fontId="19" fillId="0" borderId="1" xfId="2" applyFont="1" applyBorder="1" applyAlignment="1">
      <alignment horizontal="right" vertical="center" wrapText="1"/>
    </xf>
    <xf numFmtId="0" fontId="9" fillId="0" borderId="1" xfId="0" applyFont="1" applyBorder="1" applyAlignment="1">
      <alignment horizontal="center" vertical="top" wrapText="1"/>
    </xf>
    <xf numFmtId="0" fontId="2" fillId="0" borderId="10" xfId="0" applyFont="1" applyBorder="1" applyAlignment="1">
      <alignment horizontal="center" vertical="center"/>
    </xf>
    <xf numFmtId="0" fontId="5" fillId="0" borderId="6" xfId="0" applyFont="1" applyBorder="1" applyAlignment="1">
      <alignment horizontal="center" vertical="center"/>
    </xf>
    <xf numFmtId="49" fontId="33" fillId="0" borderId="1" xfId="0" applyNumberFormat="1" applyFont="1" applyBorder="1" applyAlignment="1">
      <alignment vertical="center" wrapText="1"/>
    </xf>
    <xf numFmtId="49" fontId="31" fillId="0" borderId="1" xfId="0" applyNumberFormat="1" applyFont="1" applyBorder="1" applyAlignment="1">
      <alignment horizontal="left" vertical="top" wrapText="1"/>
    </xf>
    <xf numFmtId="49" fontId="32" fillId="0" borderId="1" xfId="0" applyNumberFormat="1" applyFont="1" applyBorder="1" applyAlignment="1">
      <alignment vertical="center"/>
    </xf>
    <xf numFmtId="49" fontId="33" fillId="0" borderId="1" xfId="0" applyNumberFormat="1" applyFont="1" applyBorder="1" applyAlignment="1">
      <alignment vertical="center"/>
    </xf>
    <xf numFmtId="49" fontId="31" fillId="0" borderId="1" xfId="0" applyNumberFormat="1" applyFont="1" applyBorder="1" applyAlignment="1">
      <alignment horizontal="left" vertical="center"/>
    </xf>
    <xf numFmtId="0" fontId="35" fillId="0" borderId="1" xfId="0" applyFont="1" applyBorder="1" applyAlignment="1">
      <alignment horizontal="left" vertical="center" wrapText="1"/>
    </xf>
    <xf numFmtId="0" fontId="34" fillId="0" borderId="1" xfId="0" applyFont="1" applyBorder="1" applyAlignment="1">
      <alignment horizontal="left" vertical="center" wrapText="1"/>
    </xf>
    <xf numFmtId="0" fontId="34" fillId="0" borderId="1" xfId="0" applyFont="1" applyBorder="1" applyAlignment="1">
      <alignment horizontal="left" vertical="center"/>
    </xf>
    <xf numFmtId="0" fontId="34" fillId="0" borderId="1" xfId="0" applyFont="1" applyBorder="1" applyAlignment="1">
      <alignment horizontal="left" vertical="top" wrapText="1"/>
    </xf>
    <xf numFmtId="49" fontId="34" fillId="0" borderId="1" xfId="0" applyNumberFormat="1" applyFont="1" applyBorder="1" applyAlignment="1">
      <alignment horizontal="left" vertical="center"/>
    </xf>
    <xf numFmtId="49" fontId="27" fillId="0" borderId="1" xfId="0" applyNumberFormat="1" applyFont="1" applyBorder="1" applyAlignment="1">
      <alignment vertical="center" wrapText="1"/>
    </xf>
    <xf numFmtId="49" fontId="35" fillId="0" borderId="1" xfId="0" applyNumberFormat="1" applyFont="1" applyBorder="1" applyAlignment="1">
      <alignment horizontal="left" vertical="center"/>
    </xf>
    <xf numFmtId="43" fontId="4" fillId="0" borderId="11" xfId="0" applyNumberFormat="1" applyFont="1" applyBorder="1" applyAlignment="1">
      <alignment horizontal="center" vertical="center"/>
    </xf>
    <xf numFmtId="43" fontId="11" fillId="0" borderId="5" xfId="0" applyNumberFormat="1" applyFont="1" applyBorder="1" applyAlignment="1">
      <alignment horizontal="center" vertical="center"/>
    </xf>
    <xf numFmtId="43" fontId="36" fillId="0" borderId="12" xfId="0" applyNumberFormat="1" applyFont="1" applyBorder="1" applyAlignment="1">
      <alignment horizontal="center" vertical="center"/>
    </xf>
    <xf numFmtId="49" fontId="3" fillId="0" borderId="1" xfId="0" applyNumberFormat="1" applyFont="1" applyBorder="1" applyAlignment="1">
      <alignment horizontal="left" vertical="center"/>
    </xf>
    <xf numFmtId="49" fontId="29" fillId="0" borderId="1" xfId="0" applyNumberFormat="1" applyFont="1" applyBorder="1" applyAlignment="1">
      <alignment vertical="center" wrapText="1"/>
    </xf>
    <xf numFmtId="49" fontId="2" fillId="0" borderId="0" xfId="0" applyNumberFormat="1" applyFont="1" applyAlignment="1">
      <alignment horizontal="left" vertical="center"/>
    </xf>
    <xf numFmtId="49" fontId="34" fillId="0" borderId="0" xfId="0" applyNumberFormat="1" applyFont="1" applyAlignment="1">
      <alignment horizontal="left" vertical="center"/>
    </xf>
    <xf numFmtId="0" fontId="2" fillId="0" borderId="5" xfId="0" applyFont="1" applyBorder="1" applyAlignment="1">
      <alignment horizontal="center" vertical="center"/>
    </xf>
    <xf numFmtId="0" fontId="2" fillId="0" borderId="10" xfId="0" applyFont="1" applyBorder="1" applyAlignment="1">
      <alignment horizontal="center" vertical="top"/>
    </xf>
    <xf numFmtId="0" fontId="9" fillId="0" borderId="5" xfId="0" applyFont="1" applyBorder="1" applyAlignment="1">
      <alignment vertical="top" wrapText="1"/>
    </xf>
    <xf numFmtId="0" fontId="9" fillId="0" borderId="9" xfId="0" applyFont="1" applyBorder="1" applyAlignment="1">
      <alignment horizontal="left" vertical="center" wrapText="1"/>
    </xf>
    <xf numFmtId="0" fontId="2" fillId="0" borderId="9" xfId="0" applyFont="1" applyBorder="1" applyAlignment="1">
      <alignment horizontal="right" vertical="center" wrapText="1"/>
    </xf>
    <xf numFmtId="0" fontId="9" fillId="0" borderId="5" xfId="0" applyFont="1" applyBorder="1" applyAlignment="1">
      <alignment horizontal="left" vertical="center" wrapText="1"/>
    </xf>
    <xf numFmtId="0" fontId="9" fillId="0" borderId="1" xfId="0" applyFont="1" applyBorder="1" applyAlignment="1">
      <alignment horizontal="left" vertical="top" wrapText="1"/>
    </xf>
    <xf numFmtId="0" fontId="37" fillId="0" borderId="0" xfId="0" applyFont="1" applyAlignment="1">
      <alignment horizontal="left" vertical="center" wrapText="1"/>
    </xf>
    <xf numFmtId="43" fontId="2" fillId="0" borderId="1" xfId="5" applyFont="1" applyBorder="1" applyAlignment="1">
      <alignment horizontal="center" vertical="center"/>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37" fillId="0" borderId="0" xfId="0" applyFont="1" applyAlignment="1">
      <alignment vertical="center" wrapText="1"/>
    </xf>
    <xf numFmtId="0" fontId="19" fillId="0" borderId="4" xfId="0" applyFont="1" applyBorder="1" applyAlignment="1">
      <alignment vertical="center" wrapText="1"/>
    </xf>
    <xf numFmtId="0" fontId="19" fillId="0" borderId="5" xfId="0" applyFont="1" applyBorder="1" applyAlignment="1">
      <alignment wrapText="1"/>
    </xf>
    <xf numFmtId="0" fontId="19" fillId="0" borderId="4" xfId="0" applyFont="1" applyBorder="1" applyAlignment="1">
      <alignment horizontal="center" vertical="top" wrapText="1"/>
    </xf>
    <xf numFmtId="0" fontId="19" fillId="0" borderId="5" xfId="0" applyFont="1" applyBorder="1" applyAlignment="1">
      <alignment horizontal="center" vertical="top" wrapText="1"/>
    </xf>
    <xf numFmtId="0" fontId="2" fillId="0" borderId="4" xfId="0" applyFont="1" applyBorder="1" applyAlignment="1">
      <alignment horizontal="center" vertical="center" wrapText="1"/>
    </xf>
    <xf numFmtId="0" fontId="9" fillId="0" borderId="1" xfId="0" applyFont="1" applyBorder="1" applyAlignment="1">
      <alignment horizontal="center" vertical="center" wrapText="1"/>
    </xf>
    <xf numFmtId="0" fontId="37" fillId="0" borderId="0" xfId="0" applyFont="1" applyAlignment="1">
      <alignment horizontal="left" vertical="top" wrapText="1"/>
    </xf>
    <xf numFmtId="0" fontId="2" fillId="0" borderId="5" xfId="0" applyFont="1" applyBorder="1" applyAlignment="1">
      <alignment horizontal="center" vertical="center" wrapText="1"/>
    </xf>
    <xf numFmtId="0" fontId="9" fillId="0" borderId="5" xfId="1" applyFont="1" applyBorder="1" applyAlignment="1">
      <alignment horizontal="center" vertical="top" wrapText="1"/>
    </xf>
    <xf numFmtId="43" fontId="2" fillId="0" borderId="5" xfId="5" applyFont="1" applyBorder="1" applyAlignment="1">
      <alignment horizontal="center" vertical="top"/>
    </xf>
    <xf numFmtId="43" fontId="2" fillId="0" borderId="5" xfId="0" applyNumberFormat="1" applyFont="1" applyBorder="1" applyAlignment="1">
      <alignment horizontal="right" vertical="top" wrapText="1"/>
    </xf>
    <xf numFmtId="0" fontId="9" fillId="0" borderId="9" xfId="0" applyFont="1" applyBorder="1" applyAlignment="1">
      <alignment vertical="center" wrapText="1"/>
    </xf>
    <xf numFmtId="0" fontId="15" fillId="0" borderId="1" xfId="0" applyFont="1" applyBorder="1" applyAlignment="1">
      <alignment horizontal="left" vertical="center"/>
    </xf>
    <xf numFmtId="0" fontId="38" fillId="0" borderId="0" xfId="0" applyFont="1" applyAlignment="1">
      <alignment horizontal="left" vertical="center" wrapText="1"/>
    </xf>
    <xf numFmtId="0" fontId="15" fillId="2" borderId="1" xfId="0" applyFont="1" applyFill="1" applyBorder="1" applyAlignment="1">
      <alignment horizontal="left" vertical="center"/>
    </xf>
    <xf numFmtId="0" fontId="15" fillId="2" borderId="1" xfId="0" applyFont="1" applyFill="1" applyBorder="1" applyAlignment="1">
      <alignment horizontal="center" vertical="center"/>
    </xf>
    <xf numFmtId="49" fontId="19" fillId="0" borderId="1" xfId="2" applyNumberFormat="1" applyFont="1" applyBorder="1" applyAlignment="1">
      <alignment horizontal="center" vertical="center" wrapText="1"/>
    </xf>
    <xf numFmtId="43" fontId="19" fillId="0" borderId="1" xfId="0" applyNumberFormat="1" applyFont="1" applyBorder="1" applyAlignment="1">
      <alignment horizontal="center" vertical="center" wrapText="1"/>
    </xf>
    <xf numFmtId="0" fontId="9" fillId="0" borderId="9" xfId="0" applyFont="1" applyBorder="1" applyAlignment="1">
      <alignment horizontal="left" vertical="top" wrapText="1"/>
    </xf>
    <xf numFmtId="0" fontId="3" fillId="0" borderId="0" xfId="0" applyFont="1" applyAlignment="1">
      <alignment horizontal="right" vertical="center" wrapText="1"/>
    </xf>
    <xf numFmtId="43" fontId="4" fillId="0" borderId="0" xfId="0" applyNumberFormat="1" applyFont="1" applyAlignment="1">
      <alignment horizontal="center" vertical="center"/>
    </xf>
    <xf numFmtId="43" fontId="19" fillId="0" borderId="1" xfId="5" applyFont="1" applyBorder="1" applyAlignment="1">
      <alignment horizontal="center" vertical="center" wrapText="1"/>
    </xf>
    <xf numFmtId="49" fontId="19" fillId="0" borderId="1" xfId="2" applyNumberFormat="1" applyFont="1" applyFill="1" applyBorder="1" applyAlignment="1">
      <alignment horizontal="center" vertical="center"/>
    </xf>
    <xf numFmtId="49" fontId="19" fillId="0" borderId="1" xfId="1" applyNumberFormat="1" applyFont="1" applyBorder="1" applyAlignment="1">
      <alignment horizontal="center" vertical="center" wrapText="1"/>
    </xf>
    <xf numFmtId="43" fontId="19" fillId="0" borderId="1" xfId="2" applyFont="1" applyFill="1" applyBorder="1" applyAlignment="1">
      <alignment horizontal="center" vertical="center"/>
    </xf>
    <xf numFmtId="49" fontId="19" fillId="0" borderId="1" xfId="0" applyNumberFormat="1" applyFont="1" applyBorder="1" applyAlignment="1">
      <alignment horizontal="left" vertical="center" wrapText="1"/>
    </xf>
    <xf numFmtId="0" fontId="15" fillId="0" borderId="0" xfId="0" applyFont="1" applyAlignment="1">
      <alignment vertical="center" wrapText="1"/>
    </xf>
    <xf numFmtId="0" fontId="15" fillId="0" borderId="1" xfId="0" applyFont="1" applyBorder="1" applyAlignment="1">
      <alignment vertical="center"/>
    </xf>
    <xf numFmtId="0" fontId="2" fillId="0" borderId="0" xfId="0" applyFont="1" applyAlignment="1">
      <alignment horizontal="left" vertical="center"/>
    </xf>
    <xf numFmtId="0" fontId="39" fillId="0" borderId="1" xfId="0" applyFont="1" applyBorder="1" applyAlignment="1">
      <alignment horizontal="center" vertical="center" wrapText="1"/>
    </xf>
    <xf numFmtId="0" fontId="40" fillId="0" borderId="0" xfId="0" applyFont="1" applyAlignment="1">
      <alignment vertical="center" wrapText="1"/>
    </xf>
    <xf numFmtId="0" fontId="5" fillId="0" borderId="1" xfId="0" applyFont="1" applyBorder="1" applyAlignment="1">
      <alignment horizontal="left" vertical="top" wrapText="1"/>
    </xf>
    <xf numFmtId="0" fontId="19" fillId="0" borderId="9" xfId="0" applyFont="1" applyBorder="1" applyAlignment="1">
      <alignment horizontal="left" vertical="center" wrapText="1"/>
    </xf>
    <xf numFmtId="43" fontId="39" fillId="0" borderId="1" xfId="5" applyFont="1" applyBorder="1" applyAlignment="1">
      <alignment horizontal="center" vertical="center"/>
    </xf>
    <xf numFmtId="0" fontId="39" fillId="0" borderId="1" xfId="0" applyFont="1" applyBorder="1" applyAlignment="1">
      <alignment horizontal="left" vertical="top" wrapText="1"/>
    </xf>
    <xf numFmtId="0" fontId="19" fillId="0" borderId="9" xfId="0" applyFont="1" applyBorder="1" applyAlignment="1">
      <alignment vertical="center" wrapText="1"/>
    </xf>
    <xf numFmtId="0" fontId="41" fillId="0" borderId="1" xfId="0" applyFont="1" applyBorder="1" applyAlignment="1">
      <alignment vertical="center" wrapText="1"/>
    </xf>
    <xf numFmtId="0" fontId="39" fillId="0" borderId="1" xfId="0" applyFont="1" applyBorder="1" applyAlignment="1">
      <alignment horizontal="left" vertical="center" wrapText="1"/>
    </xf>
    <xf numFmtId="0" fontId="42" fillId="0" borderId="1" xfId="1" applyFont="1" applyBorder="1" applyAlignment="1">
      <alignment horizontal="center" vertical="center" wrapText="1"/>
    </xf>
    <xf numFmtId="0" fontId="43" fillId="0" borderId="1" xfId="0" applyFont="1" applyBorder="1" applyAlignment="1">
      <alignment horizontal="left" vertical="center" wrapText="1"/>
    </xf>
    <xf numFmtId="0" fontId="41" fillId="0" borderId="1" xfId="0" applyFont="1" applyBorder="1" applyAlignment="1">
      <alignment horizontal="center" vertical="center" wrapText="1"/>
    </xf>
    <xf numFmtId="0" fontId="43" fillId="0" borderId="1" xfId="0" applyFont="1" applyBorder="1"/>
    <xf numFmtId="4" fontId="41" fillId="0" borderId="1" xfId="0" applyNumberFormat="1" applyFont="1" applyBorder="1" applyAlignment="1">
      <alignment vertical="center" wrapText="1"/>
    </xf>
    <xf numFmtId="0" fontId="5" fillId="0" borderId="1" xfId="0" applyFont="1" applyBorder="1" applyAlignment="1">
      <alignment horizontal="left" vertical="center" wrapText="1"/>
    </xf>
    <xf numFmtId="0" fontId="43" fillId="0" borderId="1" xfId="0" applyFont="1" applyBorder="1" applyAlignment="1">
      <alignment horizontal="left" vertical="center"/>
    </xf>
    <xf numFmtId="43" fontId="39" fillId="0" borderId="1" xfId="0" applyNumberFormat="1" applyFont="1" applyBorder="1" applyAlignment="1">
      <alignment horizontal="right" vertical="center" wrapText="1"/>
    </xf>
    <xf numFmtId="0" fontId="19" fillId="0" borderId="9" xfId="0" applyFont="1" applyBorder="1" applyAlignment="1">
      <alignment horizontal="left" vertical="top" wrapText="1"/>
    </xf>
    <xf numFmtId="43" fontId="44" fillId="0" borderId="1" xfId="0" applyNumberFormat="1" applyFont="1" applyBorder="1" applyAlignment="1">
      <alignment horizontal="right" vertical="center" wrapText="1"/>
    </xf>
    <xf numFmtId="0" fontId="39" fillId="0" borderId="1" xfId="0" applyFont="1" applyBorder="1" applyAlignment="1">
      <alignment horizontal="center" vertical="center"/>
    </xf>
    <xf numFmtId="0" fontId="39" fillId="0" borderId="9" xfId="0" applyFont="1" applyBorder="1" applyAlignment="1">
      <alignment horizontal="right" vertical="center" wrapText="1"/>
    </xf>
    <xf numFmtId="43" fontId="39" fillId="0" borderId="1" xfId="0" applyNumberFormat="1" applyFont="1" applyBorder="1" applyAlignment="1">
      <alignment horizontal="center" vertical="center"/>
    </xf>
    <xf numFmtId="0" fontId="39" fillId="0" borderId="1" xfId="0" applyFont="1" applyBorder="1" applyAlignment="1">
      <alignment horizontal="right" vertical="center" wrapText="1"/>
    </xf>
    <xf numFmtId="43" fontId="44" fillId="0" borderId="1" xfId="0" applyNumberFormat="1" applyFont="1" applyBorder="1" applyAlignment="1">
      <alignment horizontal="center" vertical="center"/>
    </xf>
    <xf numFmtId="43" fontId="45" fillId="0" borderId="1" xfId="0" applyNumberFormat="1" applyFont="1" applyBorder="1" applyAlignment="1">
      <alignment horizontal="center" vertical="center"/>
    </xf>
    <xf numFmtId="0" fontId="46" fillId="0" borderId="1" xfId="0" applyFont="1" applyBorder="1" applyAlignment="1">
      <alignment horizontal="right" vertical="center"/>
    </xf>
    <xf numFmtId="43" fontId="5" fillId="0" borderId="1" xfId="0" applyNumberFormat="1" applyFont="1" applyBorder="1" applyAlignment="1">
      <alignment horizontal="center" vertical="center"/>
    </xf>
    <xf numFmtId="43" fontId="2" fillId="0" borderId="0" xfId="0" applyNumberFormat="1" applyFont="1" applyAlignment="1">
      <alignment horizontal="center" vertical="center"/>
    </xf>
    <xf numFmtId="43" fontId="47" fillId="0" borderId="1" xfId="0" applyNumberFormat="1" applyFont="1" applyBorder="1" applyAlignment="1">
      <alignment horizontal="center" vertical="center"/>
    </xf>
    <xf numFmtId="43" fontId="2" fillId="0" borderId="1" xfId="0" applyNumberFormat="1" applyFont="1" applyBorder="1" applyAlignment="1">
      <alignment horizontal="center" vertical="center"/>
    </xf>
    <xf numFmtId="43" fontId="3" fillId="0" borderId="0" xfId="0" applyNumberFormat="1" applyFont="1" applyAlignment="1">
      <alignment horizontal="center" vertical="center"/>
    </xf>
    <xf numFmtId="0" fontId="27" fillId="0" borderId="1" xfId="0" applyFont="1" applyBorder="1" applyAlignment="1">
      <alignment horizontal="left" vertical="center" wrapText="1"/>
    </xf>
    <xf numFmtId="0" fontId="37" fillId="0" borderId="1" xfId="0" applyFont="1" applyBorder="1" applyAlignment="1">
      <alignment vertical="center" wrapText="1"/>
    </xf>
    <xf numFmtId="0" fontId="37" fillId="0" borderId="0" xfId="0" applyFont="1"/>
    <xf numFmtId="43" fontId="19" fillId="0" borderId="1" xfId="5" applyFont="1" applyBorder="1" applyAlignment="1">
      <alignment horizontal="right" vertical="center" wrapText="1"/>
    </xf>
    <xf numFmtId="43" fontId="41" fillId="0" borderId="1" xfId="5" applyFont="1" applyBorder="1" applyAlignment="1">
      <alignment vertical="center" wrapText="1"/>
    </xf>
    <xf numFmtId="0" fontId="40" fillId="0" borderId="0" xfId="0" applyFont="1" applyAlignment="1">
      <alignment horizontal="left" vertical="center" wrapText="1"/>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39" fillId="0" borderId="7" xfId="0" applyFont="1" applyBorder="1" applyAlignment="1">
      <alignment horizontal="left" vertical="center"/>
    </xf>
    <xf numFmtId="0" fontId="39" fillId="0" borderId="8" xfId="0" applyFont="1" applyBorder="1" applyAlignment="1">
      <alignment horizontal="left" vertical="center"/>
    </xf>
    <xf numFmtId="0" fontId="39" fillId="0" borderId="9" xfId="0" applyFont="1" applyBorder="1" applyAlignment="1">
      <alignment horizontal="left" vertical="center"/>
    </xf>
    <xf numFmtId="0" fontId="18" fillId="0" borderId="4" xfId="0" applyFont="1" applyBorder="1" applyAlignment="1">
      <alignment horizontal="center" vertical="center"/>
    </xf>
    <xf numFmtId="0" fontId="18" fillId="0" borderId="6" xfId="0" applyFont="1" applyBorder="1" applyAlignment="1">
      <alignment horizontal="center" vertical="center"/>
    </xf>
    <xf numFmtId="0" fontId="18" fillId="0" borderId="5" xfId="0" applyFont="1" applyBorder="1" applyAlignment="1">
      <alignment horizontal="center" vertical="center"/>
    </xf>
    <xf numFmtId="0" fontId="24" fillId="0" borderId="1" xfId="0" applyFont="1" applyBorder="1" applyAlignment="1">
      <alignment horizontal="left"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2" fillId="0" borderId="1" xfId="0" applyFont="1" applyBorder="1" applyAlignment="1">
      <alignment horizontal="left" vertical="center"/>
    </xf>
  </cellXfs>
  <cellStyles count="6">
    <cellStyle name="Comma 2 2" xfId="2" xr:uid="{CB2AFC75-9049-48C5-AB81-2C80BE716F56}"/>
    <cellStyle name="Comma 3" xfId="3" xr:uid="{DE55C218-9D7E-4CEE-B3C0-77B765F9589D}"/>
    <cellStyle name="Normal 4" xfId="1" xr:uid="{1DC38E25-C876-4828-8926-1171253C9CC0}"/>
    <cellStyle name="จุลภาค" xfId="5" builtinId="3"/>
    <cellStyle name="ปกติ" xfId="0" builtinId="0"/>
    <cellStyle name="ปกติ 2 2" xfId="4" xr:uid="{CA6C0AE1-AC97-45E1-A993-981E154041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60234883-5335-4BAF-A41B-AA038FC9262A}"/>
            </a:ext>
          </a:extLst>
        </xdr:cNvPr>
        <xdr:cNvCxnSpPr/>
      </xdr:nvCxnSpPr>
      <xdr:spPr>
        <a:xfrm flipV="1">
          <a:off x="94678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21428C72-847C-48D6-A7C0-B342C7DCE9E1}"/>
            </a:ext>
          </a:extLst>
        </xdr:cNvPr>
        <xdr:cNvCxnSpPr/>
      </xdr:nvCxnSpPr>
      <xdr:spPr>
        <a:xfrm flipV="1">
          <a:off x="94773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682D1A9E-BC14-4A42-A091-793D33B04439}"/>
            </a:ext>
          </a:extLst>
        </xdr:cNvPr>
        <xdr:cNvCxnSpPr/>
      </xdr:nvCxnSpPr>
      <xdr:spPr>
        <a:xfrm flipV="1">
          <a:off x="94678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5450EB53-9F74-448B-82D5-AF9750023819}"/>
            </a:ext>
          </a:extLst>
        </xdr:cNvPr>
        <xdr:cNvCxnSpPr/>
      </xdr:nvCxnSpPr>
      <xdr:spPr>
        <a:xfrm flipV="1">
          <a:off x="94773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321770B-864D-4984-922D-912C4F1F8715}"/>
            </a:ext>
          </a:extLst>
        </xdr:cNvPr>
        <xdr:cNvCxnSpPr/>
      </xdr:nvCxnSpPr>
      <xdr:spPr>
        <a:xfrm flipV="1">
          <a:off x="94678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FE65EC56-3622-4C12-BFBC-591ECFD7D490}"/>
            </a:ext>
          </a:extLst>
        </xdr:cNvPr>
        <xdr:cNvCxnSpPr/>
      </xdr:nvCxnSpPr>
      <xdr:spPr>
        <a:xfrm flipV="1">
          <a:off x="94773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56BA508D-3F17-4131-AED0-E71C0A093857}"/>
            </a:ext>
          </a:extLst>
        </xdr:cNvPr>
        <xdr:cNvCxnSpPr/>
      </xdr:nvCxnSpPr>
      <xdr:spPr>
        <a:xfrm flipV="1">
          <a:off x="9477375"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18673200-8B23-4A1C-B4AD-2545B6AA2969}"/>
            </a:ext>
          </a:extLst>
        </xdr:cNvPr>
        <xdr:cNvCxnSpPr/>
      </xdr:nvCxnSpPr>
      <xdr:spPr>
        <a:xfrm flipV="1">
          <a:off x="9483725"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B80D494D-EF78-4818-8CAC-E50FA48271EC}"/>
            </a:ext>
          </a:extLst>
        </xdr:cNvPr>
        <xdr:cNvCxnSpPr/>
      </xdr:nvCxnSpPr>
      <xdr:spPr>
        <a:xfrm flipV="1">
          <a:off x="9477375"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99E1A375-F96D-44E3-AFF7-326C0BA175D3}"/>
            </a:ext>
          </a:extLst>
        </xdr:cNvPr>
        <xdr:cNvCxnSpPr/>
      </xdr:nvCxnSpPr>
      <xdr:spPr>
        <a:xfrm flipV="1">
          <a:off x="9483725"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2A99201D-74E9-46C3-BF8A-1B3020FED7AD}"/>
            </a:ext>
          </a:extLst>
        </xdr:cNvPr>
        <xdr:cNvCxnSpPr/>
      </xdr:nvCxnSpPr>
      <xdr:spPr>
        <a:xfrm flipV="1">
          <a:off x="9477375"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534B616-98E5-46B1-9BF6-88C91B53BA58}"/>
            </a:ext>
          </a:extLst>
        </xdr:cNvPr>
        <xdr:cNvCxnSpPr/>
      </xdr:nvCxnSpPr>
      <xdr:spPr>
        <a:xfrm flipV="1">
          <a:off x="9483725"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4940609-A954-4493-93DA-40A44E275CE2}"/>
            </a:ext>
          </a:extLst>
        </xdr:cNvPr>
        <xdr:cNvCxnSpPr/>
      </xdr:nvCxnSpPr>
      <xdr:spPr>
        <a:xfrm flipV="1">
          <a:off x="94678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690028C9-E87E-4F7F-AE0C-E040EFD5A551}"/>
            </a:ext>
          </a:extLst>
        </xdr:cNvPr>
        <xdr:cNvCxnSpPr/>
      </xdr:nvCxnSpPr>
      <xdr:spPr>
        <a:xfrm flipV="1">
          <a:off x="94773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3B395910-8677-46F0-B038-DD20A712C6EB}"/>
            </a:ext>
          </a:extLst>
        </xdr:cNvPr>
        <xdr:cNvCxnSpPr/>
      </xdr:nvCxnSpPr>
      <xdr:spPr>
        <a:xfrm flipV="1">
          <a:off x="9477375"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BB57A78-08C6-448B-84FB-AD4ED2EC5838}"/>
            </a:ext>
          </a:extLst>
        </xdr:cNvPr>
        <xdr:cNvCxnSpPr/>
      </xdr:nvCxnSpPr>
      <xdr:spPr>
        <a:xfrm flipV="1">
          <a:off x="9483725"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878395EC-B7EA-48B3-8770-D14E66407996}"/>
            </a:ext>
          </a:extLst>
        </xdr:cNvPr>
        <xdr:cNvCxnSpPr/>
      </xdr:nvCxnSpPr>
      <xdr:spPr>
        <a:xfrm flipV="1">
          <a:off x="94678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197955E-AC8E-46FB-8252-15CD058F0E53}"/>
            </a:ext>
          </a:extLst>
        </xdr:cNvPr>
        <xdr:cNvCxnSpPr/>
      </xdr:nvCxnSpPr>
      <xdr:spPr>
        <a:xfrm flipV="1">
          <a:off x="94773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80D1ED92-824D-4119-8641-D73F7E663414}"/>
            </a:ext>
          </a:extLst>
        </xdr:cNvPr>
        <xdr:cNvCxnSpPr/>
      </xdr:nvCxnSpPr>
      <xdr:spPr>
        <a:xfrm flipV="1">
          <a:off x="94678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5AABB596-4FBF-4A67-BC4F-B05317D00D08}"/>
            </a:ext>
          </a:extLst>
        </xdr:cNvPr>
        <xdr:cNvCxnSpPr/>
      </xdr:nvCxnSpPr>
      <xdr:spPr>
        <a:xfrm flipV="1">
          <a:off x="94773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9BE6C56C-A8D5-4A56-A654-BE06A36E8F8D}"/>
            </a:ext>
          </a:extLst>
        </xdr:cNvPr>
        <xdr:cNvCxnSpPr/>
      </xdr:nvCxnSpPr>
      <xdr:spPr>
        <a:xfrm flipV="1">
          <a:off x="8210550"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3A7CAF75-5469-4C55-AED2-46CBE8A869C2}"/>
            </a:ext>
          </a:extLst>
        </xdr:cNvPr>
        <xdr:cNvCxnSpPr/>
      </xdr:nvCxnSpPr>
      <xdr:spPr>
        <a:xfrm flipV="1">
          <a:off x="8216900"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6470538-A18F-45C9-85B7-B8E4380C259D}"/>
            </a:ext>
          </a:extLst>
        </xdr:cNvPr>
        <xdr:cNvCxnSpPr/>
      </xdr:nvCxnSpPr>
      <xdr:spPr>
        <a:xfrm flipV="1">
          <a:off x="81978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DECBCAD6-790C-473D-8D0E-1EDF10856CFE}"/>
            </a:ext>
          </a:extLst>
        </xdr:cNvPr>
        <xdr:cNvCxnSpPr/>
      </xdr:nvCxnSpPr>
      <xdr:spPr>
        <a:xfrm flipV="1">
          <a:off x="82073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40EAD9A0-0FF6-4EAC-A4EE-CDA1E013E28F}"/>
            </a:ext>
          </a:extLst>
        </xdr:cNvPr>
        <xdr:cNvCxnSpPr/>
      </xdr:nvCxnSpPr>
      <xdr:spPr>
        <a:xfrm flipV="1">
          <a:off x="8220075"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9BF4BDB7-F636-4C2E-9361-8A2E54ED7669}"/>
            </a:ext>
          </a:extLst>
        </xdr:cNvPr>
        <xdr:cNvCxnSpPr/>
      </xdr:nvCxnSpPr>
      <xdr:spPr>
        <a:xfrm flipV="1">
          <a:off x="8226425"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6311C63F-DB2E-4D5C-8804-291D6A53CB7A}"/>
            </a:ext>
          </a:extLst>
        </xdr:cNvPr>
        <xdr:cNvCxnSpPr/>
      </xdr:nvCxnSpPr>
      <xdr:spPr>
        <a:xfrm flipV="1">
          <a:off x="8220075"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9F73EC08-1B36-49C1-AF00-5388FACA22EA}"/>
            </a:ext>
          </a:extLst>
        </xdr:cNvPr>
        <xdr:cNvCxnSpPr/>
      </xdr:nvCxnSpPr>
      <xdr:spPr>
        <a:xfrm flipV="1">
          <a:off x="8226425"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647D00AC-85E2-4159-BEB4-6AFE7691FC35}"/>
            </a:ext>
          </a:extLst>
        </xdr:cNvPr>
        <xdr:cNvCxnSpPr/>
      </xdr:nvCxnSpPr>
      <xdr:spPr>
        <a:xfrm flipV="1">
          <a:off x="8220075"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2D6C7B60-F842-4842-B9CE-6E4183FF0D7D}"/>
            </a:ext>
          </a:extLst>
        </xdr:cNvPr>
        <xdr:cNvCxnSpPr/>
      </xdr:nvCxnSpPr>
      <xdr:spPr>
        <a:xfrm flipV="1">
          <a:off x="8226425"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1BEA5E59-92C4-4010-A46B-CA52D11B61AF}"/>
            </a:ext>
          </a:extLst>
        </xdr:cNvPr>
        <xdr:cNvCxnSpPr/>
      </xdr:nvCxnSpPr>
      <xdr:spPr>
        <a:xfrm flipV="1">
          <a:off x="820420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1AA328D6-1BEC-42E2-9FBF-77EFC24A86D8}"/>
            </a:ext>
          </a:extLst>
        </xdr:cNvPr>
        <xdr:cNvCxnSpPr/>
      </xdr:nvCxnSpPr>
      <xdr:spPr>
        <a:xfrm flipV="1">
          <a:off x="821372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266B18D-0D3F-4338-ABD5-3CA53382C87D}"/>
            </a:ext>
          </a:extLst>
        </xdr:cNvPr>
        <xdr:cNvCxnSpPr/>
      </xdr:nvCxnSpPr>
      <xdr:spPr>
        <a:xfrm flipV="1">
          <a:off x="783590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123C4AD1-C2F8-4321-A368-CCDC97FB7122}"/>
            </a:ext>
          </a:extLst>
        </xdr:cNvPr>
        <xdr:cNvCxnSpPr/>
      </xdr:nvCxnSpPr>
      <xdr:spPr>
        <a:xfrm flipV="1">
          <a:off x="784542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68B9D302-9DBE-4D7C-91C9-F2C76E33FDCE}"/>
            </a:ext>
          </a:extLst>
        </xdr:cNvPr>
        <xdr:cNvCxnSpPr/>
      </xdr:nvCxnSpPr>
      <xdr:spPr>
        <a:xfrm flipV="1">
          <a:off x="783590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8DD808F0-90DF-423C-90B6-7660718E933F}"/>
            </a:ext>
          </a:extLst>
        </xdr:cNvPr>
        <xdr:cNvCxnSpPr/>
      </xdr:nvCxnSpPr>
      <xdr:spPr>
        <a:xfrm flipV="1">
          <a:off x="784542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26C2D47F-B2FD-4046-86D4-68EC7A5B253C}"/>
            </a:ext>
          </a:extLst>
        </xdr:cNvPr>
        <xdr:cNvCxnSpPr/>
      </xdr:nvCxnSpPr>
      <xdr:spPr>
        <a:xfrm flipV="1">
          <a:off x="7848600"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FCAFF61F-8319-4504-AEB1-4D8973DED436}"/>
            </a:ext>
          </a:extLst>
        </xdr:cNvPr>
        <xdr:cNvCxnSpPr/>
      </xdr:nvCxnSpPr>
      <xdr:spPr>
        <a:xfrm flipV="1">
          <a:off x="7854950"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380DC9D-B259-4344-9A6B-DB8EC6241583}"/>
            </a:ext>
          </a:extLst>
        </xdr:cNvPr>
        <xdr:cNvCxnSpPr/>
      </xdr:nvCxnSpPr>
      <xdr:spPr>
        <a:xfrm flipV="1">
          <a:off x="7848600" y="257175"/>
          <a:ext cx="21590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301C1538-EDE6-45B0-842D-EC54963E0A34}"/>
            </a:ext>
          </a:extLst>
        </xdr:cNvPr>
        <xdr:cNvCxnSpPr/>
      </xdr:nvCxnSpPr>
      <xdr:spPr>
        <a:xfrm flipV="1">
          <a:off x="7854950" y="781050"/>
          <a:ext cx="222250" cy="17780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03D1ABC2-6AB1-42A7-9945-196BD0DFF4FD}"/>
            </a:ext>
          </a:extLst>
        </xdr:cNvPr>
        <xdr:cNvCxnSpPr/>
      </xdr:nvCxnSpPr>
      <xdr:spPr>
        <a:xfrm flipV="1">
          <a:off x="783590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1148E4DD-9C0B-4A2C-8A59-B556DB9118FC}"/>
            </a:ext>
          </a:extLst>
        </xdr:cNvPr>
        <xdr:cNvCxnSpPr/>
      </xdr:nvCxnSpPr>
      <xdr:spPr>
        <a:xfrm flipV="1">
          <a:off x="784542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2292DE4B-A66C-4CD9-A289-28190BEFB8E0}"/>
            </a:ext>
          </a:extLst>
        </xdr:cNvPr>
        <xdr:cNvCxnSpPr/>
      </xdr:nvCxnSpPr>
      <xdr:spPr>
        <a:xfrm flipV="1">
          <a:off x="783590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05D3CC15-342B-47C9-9D34-0C92FBD660BC}"/>
            </a:ext>
          </a:extLst>
        </xdr:cNvPr>
        <xdr:cNvCxnSpPr/>
      </xdr:nvCxnSpPr>
      <xdr:spPr>
        <a:xfrm flipV="1">
          <a:off x="784542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D86774DB-4C43-4372-B718-723F70A39D9D}"/>
            </a:ext>
          </a:extLst>
        </xdr:cNvPr>
        <xdr:cNvCxnSpPr/>
      </xdr:nvCxnSpPr>
      <xdr:spPr>
        <a:xfrm flipV="1">
          <a:off x="8883650" y="26035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BBDD7FB-AD65-4069-A1C0-A49C37C90478}"/>
            </a:ext>
          </a:extLst>
        </xdr:cNvPr>
        <xdr:cNvCxnSpPr/>
      </xdr:nvCxnSpPr>
      <xdr:spPr>
        <a:xfrm flipV="1">
          <a:off x="8893175" y="7874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38AD4BBE-084D-4535-B481-C38ED5D4D966}"/>
            </a:ext>
          </a:extLst>
        </xdr:cNvPr>
        <xdr:cNvCxnSpPr/>
      </xdr:nvCxnSpPr>
      <xdr:spPr>
        <a:xfrm flipV="1">
          <a:off x="4248150" y="180975"/>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C82964C5-B4C7-439F-8123-72DFFB000225}"/>
            </a:ext>
          </a:extLst>
        </xdr:cNvPr>
        <xdr:cNvCxnSpPr/>
      </xdr:nvCxnSpPr>
      <xdr:spPr>
        <a:xfrm flipV="1">
          <a:off x="4257675" y="542925"/>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92508300-740A-4CCE-B1C5-7A4A48B5E2A6}"/>
            </a:ext>
          </a:extLst>
        </xdr:cNvPr>
        <xdr:cNvCxnSpPr/>
      </xdr:nvCxnSpPr>
      <xdr:spPr>
        <a:xfrm flipV="1">
          <a:off x="8896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EB3174DB-C382-44C1-9EFA-3C1EE7C96E47}"/>
            </a:ext>
          </a:extLst>
        </xdr:cNvPr>
        <xdr:cNvCxnSpPr/>
      </xdr:nvCxnSpPr>
      <xdr:spPr>
        <a:xfrm flipV="1">
          <a:off x="8905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76200</xdr:colOff>
      <xdr:row>1</xdr:row>
      <xdr:rowOff>0</xdr:rowOff>
    </xdr:from>
    <xdr:to>
      <xdr:col>6</xdr:col>
      <xdr:colOff>295275</xdr:colOff>
      <xdr:row>1</xdr:row>
      <xdr:rowOff>180975</xdr:rowOff>
    </xdr:to>
    <xdr:cxnSp macro="">
      <xdr:nvCxnSpPr>
        <xdr:cNvPr id="4" name="Straight Connector 2">
          <a:extLst>
            <a:ext uri="{FF2B5EF4-FFF2-40B4-BE49-F238E27FC236}">
              <a16:creationId xmlns:a16="http://schemas.microsoft.com/office/drawing/2014/main" id="{2EE79514-83E6-4E2C-A187-945B78C24AF2}"/>
            </a:ext>
          </a:extLst>
        </xdr:cNvPr>
        <xdr:cNvCxnSpPr/>
      </xdr:nvCxnSpPr>
      <xdr:spPr>
        <a:xfrm flipV="1">
          <a:off x="8896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5" name="Straight Connector 4">
          <a:extLst>
            <a:ext uri="{FF2B5EF4-FFF2-40B4-BE49-F238E27FC236}">
              <a16:creationId xmlns:a16="http://schemas.microsoft.com/office/drawing/2014/main" id="{EAC10406-980D-447F-B0ED-932BC48C8221}"/>
            </a:ext>
          </a:extLst>
        </xdr:cNvPr>
        <xdr:cNvCxnSpPr/>
      </xdr:nvCxnSpPr>
      <xdr:spPr>
        <a:xfrm flipV="1">
          <a:off x="8905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42167128-3037-49A0-8C9B-D860CD0FD60C}"/>
            </a:ext>
          </a:extLst>
        </xdr:cNvPr>
        <xdr:cNvCxnSpPr/>
      </xdr:nvCxnSpPr>
      <xdr:spPr>
        <a:xfrm flipV="1">
          <a:off x="8896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66E498D-95A5-42C1-A0C9-E51FFFE9A0AA}"/>
            </a:ext>
          </a:extLst>
        </xdr:cNvPr>
        <xdr:cNvCxnSpPr/>
      </xdr:nvCxnSpPr>
      <xdr:spPr>
        <a:xfrm flipV="1">
          <a:off x="8905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D2609B7D-9E8F-48B0-A8AE-2AC6FEBE54B7}"/>
            </a:ext>
          </a:extLst>
        </xdr:cNvPr>
        <xdr:cNvCxnSpPr/>
      </xdr:nvCxnSpPr>
      <xdr:spPr>
        <a:xfrm flipV="1">
          <a:off x="8896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B3C5671B-E6FD-4039-9E01-42522F0BC173}"/>
            </a:ext>
          </a:extLst>
        </xdr:cNvPr>
        <xdr:cNvCxnSpPr/>
      </xdr:nvCxnSpPr>
      <xdr:spPr>
        <a:xfrm flipV="1">
          <a:off x="8905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F91A6BE7-F92D-4BF3-B8E4-5565FDBBAC97}"/>
            </a:ext>
          </a:extLst>
        </xdr:cNvPr>
        <xdr:cNvCxnSpPr/>
      </xdr:nvCxnSpPr>
      <xdr:spPr>
        <a:xfrm flipV="1">
          <a:off x="8896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D94FCDCE-FEC1-49E5-BE18-D69E6F3D6469}"/>
            </a:ext>
          </a:extLst>
        </xdr:cNvPr>
        <xdr:cNvCxnSpPr/>
      </xdr:nvCxnSpPr>
      <xdr:spPr>
        <a:xfrm flipV="1">
          <a:off x="8905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21ABC434-9320-48CA-880B-C15F05A39500}"/>
            </a:ext>
          </a:extLst>
        </xdr:cNvPr>
        <xdr:cNvCxnSpPr/>
      </xdr:nvCxnSpPr>
      <xdr:spPr>
        <a:xfrm flipV="1">
          <a:off x="8896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EF03BE6F-AEFE-457B-B8BA-9D0A2170A62E}"/>
            </a:ext>
          </a:extLst>
        </xdr:cNvPr>
        <xdr:cNvCxnSpPr/>
      </xdr:nvCxnSpPr>
      <xdr:spPr>
        <a:xfrm flipV="1">
          <a:off x="8905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ACEA1DDF-B8D0-4118-B2A7-BCA8656AF9A9}"/>
            </a:ext>
          </a:extLst>
        </xdr:cNvPr>
        <xdr:cNvCxnSpPr/>
      </xdr:nvCxnSpPr>
      <xdr:spPr>
        <a:xfrm flipV="1">
          <a:off x="79248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344E7F47-1794-4E3B-8E09-A639755FA55A}"/>
            </a:ext>
          </a:extLst>
        </xdr:cNvPr>
        <xdr:cNvCxnSpPr/>
      </xdr:nvCxnSpPr>
      <xdr:spPr>
        <a:xfrm flipV="1">
          <a:off x="79343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05C34383-6172-4CAB-B7C8-0260D8B495FA}"/>
            </a:ext>
          </a:extLst>
        </xdr:cNvPr>
        <xdr:cNvCxnSpPr/>
      </xdr:nvCxnSpPr>
      <xdr:spPr>
        <a:xfrm flipV="1">
          <a:off x="79248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DDAF97BC-7D45-4B30-AAA7-D509697C7324}"/>
            </a:ext>
          </a:extLst>
        </xdr:cNvPr>
        <xdr:cNvCxnSpPr/>
      </xdr:nvCxnSpPr>
      <xdr:spPr>
        <a:xfrm flipV="1">
          <a:off x="79343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A2C19D03-BD76-4FDC-B5D0-13FDD61CBE9E}"/>
            </a:ext>
          </a:extLst>
        </xdr:cNvPr>
        <xdr:cNvCxnSpPr/>
      </xdr:nvCxnSpPr>
      <xdr:spPr>
        <a:xfrm flipV="1">
          <a:off x="79248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8042943E-A8BA-48FD-8A6A-A166C773C155}"/>
            </a:ext>
          </a:extLst>
        </xdr:cNvPr>
        <xdr:cNvCxnSpPr/>
      </xdr:nvCxnSpPr>
      <xdr:spPr>
        <a:xfrm flipV="1">
          <a:off x="79343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5E2BECE2-A0D4-4B68-ADA5-43B6C0ED3F8C}"/>
            </a:ext>
          </a:extLst>
        </xdr:cNvPr>
        <xdr:cNvCxnSpPr/>
      </xdr:nvCxnSpPr>
      <xdr:spPr>
        <a:xfrm flipV="1">
          <a:off x="79248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98B9A538-89A1-4700-9A6D-63860F97D2E7}"/>
            </a:ext>
          </a:extLst>
        </xdr:cNvPr>
        <xdr:cNvCxnSpPr/>
      </xdr:nvCxnSpPr>
      <xdr:spPr>
        <a:xfrm flipV="1">
          <a:off x="79343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00B15D4-3C3E-4C1F-993A-3077CDD17F83}"/>
            </a:ext>
          </a:extLst>
        </xdr:cNvPr>
        <xdr:cNvCxnSpPr/>
      </xdr:nvCxnSpPr>
      <xdr:spPr>
        <a:xfrm flipV="1">
          <a:off x="79248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80471CC8-8617-40C5-BE37-32C2E181AB46}"/>
            </a:ext>
          </a:extLst>
        </xdr:cNvPr>
        <xdr:cNvCxnSpPr/>
      </xdr:nvCxnSpPr>
      <xdr:spPr>
        <a:xfrm flipV="1">
          <a:off x="79343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F5754B2-BF79-4A55-BFFA-83652B2839F5}"/>
            </a:ext>
          </a:extLst>
        </xdr:cNvPr>
        <xdr:cNvCxnSpPr/>
      </xdr:nvCxnSpPr>
      <xdr:spPr>
        <a:xfrm flipV="1">
          <a:off x="79248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6B18C3CD-0641-48C9-A54C-F37825C41461}"/>
            </a:ext>
          </a:extLst>
        </xdr:cNvPr>
        <xdr:cNvCxnSpPr/>
      </xdr:nvCxnSpPr>
      <xdr:spPr>
        <a:xfrm flipV="1">
          <a:off x="79343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A11DBB8-B9D0-44BB-ACAC-360935A8491C}"/>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1331E53-7C3F-4CB5-8E35-EEAE040E9611}"/>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85F4CAEC-2FA1-4172-B8B2-BDE0AA4B798D}"/>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C6EA0F5C-D8E1-4C8A-B294-0D3DFD229210}"/>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09CDEC0-7E81-4956-B948-85DCFF0752C8}"/>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ED39706-4E66-4FAD-B5FB-AF3BD5A01FC0}"/>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02E85460-6D68-46DF-8D06-26BA812F0C14}"/>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96AD5E03-C79B-4E12-BCBC-D51B13806AC7}"/>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FC74059C-E1E3-4231-BBD1-46B889479877}"/>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3C01D72F-CFDD-4F89-81BF-4A5817EC23BB}"/>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18844699-6EB0-4E6F-9D0D-279B7109C79D}"/>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FC3AE84C-655E-4C0D-9C6E-F2508B088ED4}"/>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2CE7976C-4947-4AF2-B9B0-67877860919F}"/>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98336E45-39A9-4B3F-9582-46AF0BB6A2FB}"/>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33C97C15-D5F2-44FB-89BE-B2D153DB19CC}"/>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E559C15F-2000-42B8-97A7-D69278CF265B}"/>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89785246-45B8-41C6-A04E-AD5847AB80E0}"/>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F296EDC6-1B96-477E-A6A0-EF0727A0AC1E}"/>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171DBB07-34F3-478C-AF55-BA1EF892FA61}"/>
            </a:ext>
          </a:extLst>
        </xdr:cNvPr>
        <xdr:cNvCxnSpPr/>
      </xdr:nvCxnSpPr>
      <xdr:spPr>
        <a:xfrm flipV="1">
          <a:off x="77343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D562C3B9-4AE9-428D-9050-577D164DB320}"/>
            </a:ext>
          </a:extLst>
        </xdr:cNvPr>
        <xdr:cNvCxnSpPr/>
      </xdr:nvCxnSpPr>
      <xdr:spPr>
        <a:xfrm flipV="1">
          <a:off x="77438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1476378</xdr:colOff>
      <xdr:row>10</xdr:row>
      <xdr:rowOff>74490</xdr:rowOff>
    </xdr:from>
    <xdr:to>
      <xdr:col>1</xdr:col>
      <xdr:colOff>1614857</xdr:colOff>
      <xdr:row>10</xdr:row>
      <xdr:rowOff>243742</xdr:rowOff>
    </xdr:to>
    <xdr:grpSp>
      <xdr:nvGrpSpPr>
        <xdr:cNvPr id="10" name="Group 9">
          <a:extLst>
            <a:ext uri="{FF2B5EF4-FFF2-40B4-BE49-F238E27FC236}">
              <a16:creationId xmlns:a16="http://schemas.microsoft.com/office/drawing/2014/main" id="{C9BC66D5-FA6E-3FA9-DED1-6E0DF88AADA0}"/>
            </a:ext>
          </a:extLst>
        </xdr:cNvPr>
        <xdr:cNvGrpSpPr/>
      </xdr:nvGrpSpPr>
      <xdr:grpSpPr>
        <a:xfrm>
          <a:off x="2169261" y="2748817"/>
          <a:ext cx="138479" cy="166077"/>
          <a:chOff x="2174878" y="2863605"/>
          <a:chExt cx="138479" cy="169252"/>
        </a:xfrm>
      </xdr:grpSpPr>
      <xdr:sp macro="" textlink="">
        <xdr:nvSpPr>
          <xdr:cNvPr id="2" name="Flowchart: Connector 1">
            <a:extLst>
              <a:ext uri="{FF2B5EF4-FFF2-40B4-BE49-F238E27FC236}">
                <a16:creationId xmlns:a16="http://schemas.microsoft.com/office/drawing/2014/main" id="{9A7CCED8-3C2D-AEDA-04CE-0B381C79CF82}"/>
              </a:ext>
            </a:extLst>
          </xdr:cNvPr>
          <xdr:cNvSpPr/>
        </xdr:nvSpPr>
        <xdr:spPr>
          <a:xfrm>
            <a:off x="2195390" y="2863851"/>
            <a:ext cx="112838" cy="157773"/>
          </a:xfrm>
          <a:prstGeom prst="flowChartConnec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xnSp macro="">
        <xdr:nvCxnSpPr>
          <xdr:cNvPr id="4" name="Straight Connector 3">
            <a:extLst>
              <a:ext uri="{FF2B5EF4-FFF2-40B4-BE49-F238E27FC236}">
                <a16:creationId xmlns:a16="http://schemas.microsoft.com/office/drawing/2014/main" id="{80852E79-F7F6-6BF7-4B22-D8E0AB6BDAB4}"/>
              </a:ext>
            </a:extLst>
          </xdr:cNvPr>
          <xdr:cNvCxnSpPr/>
        </xdr:nvCxnSpPr>
        <xdr:spPr>
          <a:xfrm flipH="1">
            <a:off x="2174878" y="2863605"/>
            <a:ext cx="138479" cy="169252"/>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1450488</xdr:colOff>
      <xdr:row>22</xdr:row>
      <xdr:rowOff>74490</xdr:rowOff>
    </xdr:from>
    <xdr:to>
      <xdr:col>1</xdr:col>
      <xdr:colOff>1588967</xdr:colOff>
      <xdr:row>22</xdr:row>
      <xdr:rowOff>243742</xdr:rowOff>
    </xdr:to>
    <xdr:grpSp>
      <xdr:nvGrpSpPr>
        <xdr:cNvPr id="11" name="Group 10">
          <a:extLst>
            <a:ext uri="{FF2B5EF4-FFF2-40B4-BE49-F238E27FC236}">
              <a16:creationId xmlns:a16="http://schemas.microsoft.com/office/drawing/2014/main" id="{62C89DE0-C871-1CE8-E6A4-13D26DD36609}"/>
            </a:ext>
          </a:extLst>
        </xdr:cNvPr>
        <xdr:cNvGrpSpPr/>
      </xdr:nvGrpSpPr>
      <xdr:grpSpPr>
        <a:xfrm>
          <a:off x="2146546" y="5826125"/>
          <a:ext cx="141654" cy="166077"/>
          <a:chOff x="2123098" y="6081102"/>
          <a:chExt cx="141654" cy="172427"/>
        </a:xfrm>
      </xdr:grpSpPr>
      <xdr:sp macro="" textlink="">
        <xdr:nvSpPr>
          <xdr:cNvPr id="8" name="Flowchart: Connector 7">
            <a:extLst>
              <a:ext uri="{FF2B5EF4-FFF2-40B4-BE49-F238E27FC236}">
                <a16:creationId xmlns:a16="http://schemas.microsoft.com/office/drawing/2014/main" id="{356B6C66-C54D-4286-B0B3-3C2D27CCD17F}"/>
              </a:ext>
            </a:extLst>
          </xdr:cNvPr>
          <xdr:cNvSpPr/>
        </xdr:nvSpPr>
        <xdr:spPr>
          <a:xfrm>
            <a:off x="2143610" y="6087698"/>
            <a:ext cx="112838" cy="157773"/>
          </a:xfrm>
          <a:prstGeom prst="flowChartConnec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xnSp macro="">
        <xdr:nvCxnSpPr>
          <xdr:cNvPr id="9" name="Straight Connector 8">
            <a:extLst>
              <a:ext uri="{FF2B5EF4-FFF2-40B4-BE49-F238E27FC236}">
                <a16:creationId xmlns:a16="http://schemas.microsoft.com/office/drawing/2014/main" id="{001BCB02-954D-4D3F-8C2C-EA87A60FD9F0}"/>
              </a:ext>
            </a:extLst>
          </xdr:cNvPr>
          <xdr:cNvCxnSpPr/>
        </xdr:nvCxnSpPr>
        <xdr:spPr>
          <a:xfrm flipH="1">
            <a:off x="2123098" y="6081102"/>
            <a:ext cx="141654" cy="172427"/>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7.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5AA853B7-C757-4161-BCCD-4293D29D1E62}"/>
            </a:ext>
          </a:extLst>
        </xdr:cNvPr>
        <xdr:cNvCxnSpPr/>
      </xdr:nvCxnSpPr>
      <xdr:spPr>
        <a:xfrm flipV="1">
          <a:off x="814387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B694960B-1133-40A0-94B7-F65A4EB6AB7B}"/>
            </a:ext>
          </a:extLst>
        </xdr:cNvPr>
        <xdr:cNvCxnSpPr/>
      </xdr:nvCxnSpPr>
      <xdr:spPr>
        <a:xfrm flipV="1">
          <a:off x="815340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027A3955-3B6A-4BB1-AD78-8143632B4D28}"/>
            </a:ext>
          </a:extLst>
        </xdr:cNvPr>
        <xdr:cNvCxnSpPr/>
      </xdr:nvCxnSpPr>
      <xdr:spPr>
        <a:xfrm flipV="1">
          <a:off x="814387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89A6A379-0CF7-409C-87CC-2C0CD973C891}"/>
            </a:ext>
          </a:extLst>
        </xdr:cNvPr>
        <xdr:cNvCxnSpPr/>
      </xdr:nvCxnSpPr>
      <xdr:spPr>
        <a:xfrm flipV="1">
          <a:off x="815340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1A1644F5-D42B-4084-9485-F8FC8FCA961F}"/>
            </a:ext>
          </a:extLst>
        </xdr:cNvPr>
        <xdr:cNvCxnSpPr/>
      </xdr:nvCxnSpPr>
      <xdr:spPr>
        <a:xfrm flipV="1">
          <a:off x="72961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B71971CB-B45B-4D3A-B8A6-73342DBF40E4}"/>
            </a:ext>
          </a:extLst>
        </xdr:cNvPr>
        <xdr:cNvCxnSpPr/>
      </xdr:nvCxnSpPr>
      <xdr:spPr>
        <a:xfrm flipV="1">
          <a:off x="73056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2CF722BA-645E-4725-8B4B-8B61F8D4C76E}"/>
            </a:ext>
          </a:extLst>
        </xdr:cNvPr>
        <xdr:cNvCxnSpPr/>
      </xdr:nvCxnSpPr>
      <xdr:spPr>
        <a:xfrm flipV="1">
          <a:off x="678180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EA9B32F5-9C63-4A1F-9C38-B2EC93E99953}"/>
            </a:ext>
          </a:extLst>
        </xdr:cNvPr>
        <xdr:cNvCxnSpPr/>
      </xdr:nvCxnSpPr>
      <xdr:spPr>
        <a:xfrm flipV="1">
          <a:off x="679132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08CA50FE-6BEA-4072-8812-0C113C4860FB}"/>
            </a:ext>
          </a:extLst>
        </xdr:cNvPr>
        <xdr:cNvCxnSpPr/>
      </xdr:nvCxnSpPr>
      <xdr:spPr>
        <a:xfrm flipV="1">
          <a:off x="71437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8BDD6857-0F18-4AF9-86B1-E1FD24A45B5E}"/>
            </a:ext>
          </a:extLst>
        </xdr:cNvPr>
        <xdr:cNvCxnSpPr/>
      </xdr:nvCxnSpPr>
      <xdr:spPr>
        <a:xfrm flipV="1">
          <a:off x="71532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68430C6-83DA-4E2C-A628-100BD62A6253}"/>
            </a:ext>
          </a:extLst>
        </xdr:cNvPr>
        <xdr:cNvCxnSpPr/>
      </xdr:nvCxnSpPr>
      <xdr:spPr>
        <a:xfrm flipV="1">
          <a:off x="831532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73AD9BB8-010D-4833-8114-410E47049FE0}"/>
            </a:ext>
          </a:extLst>
        </xdr:cNvPr>
        <xdr:cNvCxnSpPr/>
      </xdr:nvCxnSpPr>
      <xdr:spPr>
        <a:xfrm flipV="1">
          <a:off x="832485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BEFD0130-9599-4157-87BF-E424B3B76A2F}"/>
            </a:ext>
          </a:extLst>
        </xdr:cNvPr>
        <xdr:cNvCxnSpPr/>
      </xdr:nvCxnSpPr>
      <xdr:spPr>
        <a:xfrm flipV="1">
          <a:off x="831532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B79BDEA6-16D6-45C8-BB5F-8B657A97910A}"/>
            </a:ext>
          </a:extLst>
        </xdr:cNvPr>
        <xdr:cNvCxnSpPr/>
      </xdr:nvCxnSpPr>
      <xdr:spPr>
        <a:xfrm flipV="1">
          <a:off x="832485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4.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3331189A-1780-42B9-A33B-EE0167443A1C}"/>
            </a:ext>
          </a:extLst>
        </xdr:cNvPr>
        <xdr:cNvCxnSpPr/>
      </xdr:nvCxnSpPr>
      <xdr:spPr>
        <a:xfrm flipV="1">
          <a:off x="780097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4A5366A4-5D43-4F53-A57F-3843D49FEF76}"/>
            </a:ext>
          </a:extLst>
        </xdr:cNvPr>
        <xdr:cNvCxnSpPr/>
      </xdr:nvCxnSpPr>
      <xdr:spPr>
        <a:xfrm flipV="1">
          <a:off x="781050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5.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E8302844-604E-4ECA-9C03-170720339CCD}"/>
            </a:ext>
          </a:extLst>
        </xdr:cNvPr>
        <xdr:cNvCxnSpPr/>
      </xdr:nvCxnSpPr>
      <xdr:spPr>
        <a:xfrm flipV="1">
          <a:off x="7372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F2505E17-DFEC-4B4E-B26D-A23F44656EE8}"/>
            </a:ext>
          </a:extLst>
        </xdr:cNvPr>
        <xdr:cNvCxnSpPr/>
      </xdr:nvCxnSpPr>
      <xdr:spPr>
        <a:xfrm flipV="1">
          <a:off x="7381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6.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E61F575C-9A67-43D4-9FDB-53A26EA005B1}"/>
            </a:ext>
          </a:extLst>
        </xdr:cNvPr>
        <xdr:cNvCxnSpPr/>
      </xdr:nvCxnSpPr>
      <xdr:spPr>
        <a:xfrm flipV="1">
          <a:off x="72961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BCFD0176-BD57-4F77-A882-4512CB11C6C7}"/>
            </a:ext>
          </a:extLst>
        </xdr:cNvPr>
        <xdr:cNvCxnSpPr/>
      </xdr:nvCxnSpPr>
      <xdr:spPr>
        <a:xfrm flipV="1">
          <a:off x="73056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7.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FFD7488A-53BA-4ADD-8A11-FE5C22F0930D}"/>
            </a:ext>
          </a:extLst>
        </xdr:cNvPr>
        <xdr:cNvCxnSpPr/>
      </xdr:nvCxnSpPr>
      <xdr:spPr>
        <a:xfrm flipV="1">
          <a:off x="7372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5F133819-D049-4909-887C-AAC81CC6788C}"/>
            </a:ext>
          </a:extLst>
        </xdr:cNvPr>
        <xdr:cNvCxnSpPr/>
      </xdr:nvCxnSpPr>
      <xdr:spPr>
        <a:xfrm flipV="1">
          <a:off x="7381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8.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9BA79781-5C68-4DCC-ADCD-869401BB9D53}"/>
            </a:ext>
          </a:extLst>
        </xdr:cNvPr>
        <xdr:cNvCxnSpPr/>
      </xdr:nvCxnSpPr>
      <xdr:spPr>
        <a:xfrm flipV="1">
          <a:off x="7372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C9058C8C-6E79-4E27-AF34-54313BE7171B}"/>
            </a:ext>
          </a:extLst>
        </xdr:cNvPr>
        <xdr:cNvCxnSpPr/>
      </xdr:nvCxnSpPr>
      <xdr:spPr>
        <a:xfrm flipV="1">
          <a:off x="7381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59.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3C7AA3D9-BA2B-4BB5-BFCC-80C51FDB1C87}"/>
            </a:ext>
          </a:extLst>
        </xdr:cNvPr>
        <xdr:cNvCxnSpPr/>
      </xdr:nvCxnSpPr>
      <xdr:spPr>
        <a:xfrm flipV="1">
          <a:off x="7372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F9F7B65D-4C98-4EE7-81E6-727C466EEEEA}"/>
            </a:ext>
          </a:extLst>
        </xdr:cNvPr>
        <xdr:cNvCxnSpPr/>
      </xdr:nvCxnSpPr>
      <xdr:spPr>
        <a:xfrm flipV="1">
          <a:off x="7381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0.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D1C9C3C-F676-49BF-991E-FEB90F5E4288}"/>
            </a:ext>
          </a:extLst>
        </xdr:cNvPr>
        <xdr:cNvCxnSpPr/>
      </xdr:nvCxnSpPr>
      <xdr:spPr>
        <a:xfrm flipV="1">
          <a:off x="73723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63201A5F-E024-458D-89A9-C172CA5479AF}"/>
            </a:ext>
          </a:extLst>
        </xdr:cNvPr>
        <xdr:cNvCxnSpPr/>
      </xdr:nvCxnSpPr>
      <xdr:spPr>
        <a:xfrm flipV="1">
          <a:off x="73818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1.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8F92F7F-F629-4811-A3F9-47BAC9210403}"/>
            </a:ext>
          </a:extLst>
        </xdr:cNvPr>
        <xdr:cNvCxnSpPr/>
      </xdr:nvCxnSpPr>
      <xdr:spPr>
        <a:xfrm flipV="1">
          <a:off x="721042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F256E172-F9B5-4BAC-AD02-F7504DA406F4}"/>
            </a:ext>
          </a:extLst>
        </xdr:cNvPr>
        <xdr:cNvCxnSpPr/>
      </xdr:nvCxnSpPr>
      <xdr:spPr>
        <a:xfrm flipV="1">
          <a:off x="721995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2.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49E8890-2F18-4961-8C50-71B9DC395B6E}"/>
            </a:ext>
          </a:extLst>
        </xdr:cNvPr>
        <xdr:cNvCxnSpPr/>
      </xdr:nvCxnSpPr>
      <xdr:spPr>
        <a:xfrm flipV="1">
          <a:off x="724852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012DBEF0-8299-4E27-AC38-4F3705975BA7}"/>
            </a:ext>
          </a:extLst>
        </xdr:cNvPr>
        <xdr:cNvCxnSpPr/>
      </xdr:nvCxnSpPr>
      <xdr:spPr>
        <a:xfrm flipV="1">
          <a:off x="725805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3.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99565B92-0A4D-4A8D-A6D9-77DF0C46024D}"/>
            </a:ext>
          </a:extLst>
        </xdr:cNvPr>
        <xdr:cNvCxnSpPr/>
      </xdr:nvCxnSpPr>
      <xdr:spPr>
        <a:xfrm flipV="1">
          <a:off x="721042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613A5C63-9238-4984-80FE-8C95352C4BE6}"/>
            </a:ext>
          </a:extLst>
        </xdr:cNvPr>
        <xdr:cNvCxnSpPr/>
      </xdr:nvCxnSpPr>
      <xdr:spPr>
        <a:xfrm flipV="1">
          <a:off x="721995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4.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E8D188DF-9561-473B-80AD-65116603808B}"/>
            </a:ext>
          </a:extLst>
        </xdr:cNvPr>
        <xdr:cNvCxnSpPr/>
      </xdr:nvCxnSpPr>
      <xdr:spPr>
        <a:xfrm flipV="1">
          <a:off x="751522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E99BFF01-A395-4CD7-83B7-B5549B6F2EB3}"/>
            </a:ext>
          </a:extLst>
        </xdr:cNvPr>
        <xdr:cNvCxnSpPr/>
      </xdr:nvCxnSpPr>
      <xdr:spPr>
        <a:xfrm flipV="1">
          <a:off x="752475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5.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B9B4B20-870F-46E8-A69A-36447C0105A6}"/>
            </a:ext>
          </a:extLst>
        </xdr:cNvPr>
        <xdr:cNvCxnSpPr/>
      </xdr:nvCxnSpPr>
      <xdr:spPr>
        <a:xfrm flipV="1">
          <a:off x="72961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28B34E73-F87D-473D-A7A0-5099D1FDFF96}"/>
            </a:ext>
          </a:extLst>
        </xdr:cNvPr>
        <xdr:cNvCxnSpPr/>
      </xdr:nvCxnSpPr>
      <xdr:spPr>
        <a:xfrm flipV="1">
          <a:off x="73056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6.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C7D5A0CD-C6D2-471D-9E5D-E7080690303D}"/>
            </a:ext>
          </a:extLst>
        </xdr:cNvPr>
        <xdr:cNvCxnSpPr/>
      </xdr:nvCxnSpPr>
      <xdr:spPr>
        <a:xfrm flipV="1">
          <a:off x="72961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6BDC9282-9F94-4EE8-975D-2498238A08FA}"/>
            </a:ext>
          </a:extLst>
        </xdr:cNvPr>
        <xdr:cNvCxnSpPr/>
      </xdr:nvCxnSpPr>
      <xdr:spPr>
        <a:xfrm flipV="1">
          <a:off x="73056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7.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AFF92DC7-587B-481F-A2B4-0764B0EB478B}"/>
            </a:ext>
          </a:extLst>
        </xdr:cNvPr>
        <xdr:cNvCxnSpPr/>
      </xdr:nvCxnSpPr>
      <xdr:spPr>
        <a:xfrm flipV="1">
          <a:off x="72961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A5BBAD36-9CD5-4920-BA8E-09A9F88021F4}"/>
            </a:ext>
          </a:extLst>
        </xdr:cNvPr>
        <xdr:cNvCxnSpPr/>
      </xdr:nvCxnSpPr>
      <xdr:spPr>
        <a:xfrm flipV="1">
          <a:off x="73056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8.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75145780-73CC-4494-B358-DC013A4A9F7A}"/>
            </a:ext>
          </a:extLst>
        </xdr:cNvPr>
        <xdr:cNvCxnSpPr/>
      </xdr:nvCxnSpPr>
      <xdr:spPr>
        <a:xfrm flipV="1">
          <a:off x="7296150"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350EC439-48B7-425B-A01C-18B6D34216BD}"/>
            </a:ext>
          </a:extLst>
        </xdr:cNvPr>
        <xdr:cNvCxnSpPr/>
      </xdr:nvCxnSpPr>
      <xdr:spPr>
        <a:xfrm flipV="1">
          <a:off x="7305675"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69.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2" name="Straight Connector 2">
          <a:extLst>
            <a:ext uri="{FF2B5EF4-FFF2-40B4-BE49-F238E27FC236}">
              <a16:creationId xmlns:a16="http://schemas.microsoft.com/office/drawing/2014/main" id="{0D449630-974A-4497-8AE7-D7BF911EA14F}"/>
            </a:ext>
          </a:extLst>
        </xdr:cNvPr>
        <xdr:cNvCxnSpPr/>
      </xdr:nvCxnSpPr>
      <xdr:spPr>
        <a:xfrm flipV="1">
          <a:off x="700087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3" name="Straight Connector 4">
          <a:extLst>
            <a:ext uri="{FF2B5EF4-FFF2-40B4-BE49-F238E27FC236}">
              <a16:creationId xmlns:a16="http://schemas.microsoft.com/office/drawing/2014/main" id="{A02FF847-784B-4DC5-BC3B-795A838CDF79}"/>
            </a:ext>
          </a:extLst>
        </xdr:cNvPr>
        <xdr:cNvCxnSpPr/>
      </xdr:nvCxnSpPr>
      <xdr:spPr>
        <a:xfrm flipV="1">
          <a:off x="701040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drawings/drawing70.xml><?xml version="1.0" encoding="utf-8"?>
<xdr:wsDr xmlns:xdr="http://schemas.openxmlformats.org/drawingml/2006/spreadsheetDrawing" xmlns:a="http://schemas.openxmlformats.org/drawingml/2006/main">
  <xdr:twoCellAnchor>
    <xdr:from>
      <xdr:col>6</xdr:col>
      <xdr:colOff>76200</xdr:colOff>
      <xdr:row>1</xdr:row>
      <xdr:rowOff>0</xdr:rowOff>
    </xdr:from>
    <xdr:to>
      <xdr:col>6</xdr:col>
      <xdr:colOff>295275</xdr:colOff>
      <xdr:row>1</xdr:row>
      <xdr:rowOff>180975</xdr:rowOff>
    </xdr:to>
    <xdr:cxnSp macro="">
      <xdr:nvCxnSpPr>
        <xdr:cNvPr id="3" name="Straight Connector 2">
          <a:extLst>
            <a:ext uri="{FF2B5EF4-FFF2-40B4-BE49-F238E27FC236}">
              <a16:creationId xmlns:a16="http://schemas.microsoft.com/office/drawing/2014/main" id="{1E87DFE5-200B-C6B6-CDB5-D3C9F2FAE310}"/>
            </a:ext>
          </a:extLst>
        </xdr:cNvPr>
        <xdr:cNvCxnSpPr/>
      </xdr:nvCxnSpPr>
      <xdr:spPr>
        <a:xfrm flipV="1">
          <a:off x="7324725" y="2667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85725</xdr:colOff>
      <xdr:row>3</xdr:row>
      <xdr:rowOff>0</xdr:rowOff>
    </xdr:from>
    <xdr:to>
      <xdr:col>6</xdr:col>
      <xdr:colOff>304800</xdr:colOff>
      <xdr:row>3</xdr:row>
      <xdr:rowOff>180975</xdr:rowOff>
    </xdr:to>
    <xdr:cxnSp macro="">
      <xdr:nvCxnSpPr>
        <xdr:cNvPr id="5" name="Straight Connector 4">
          <a:extLst>
            <a:ext uri="{FF2B5EF4-FFF2-40B4-BE49-F238E27FC236}">
              <a16:creationId xmlns:a16="http://schemas.microsoft.com/office/drawing/2014/main" id="{9C8B6180-723A-4C18-8A2C-D36CBDBF4915}"/>
            </a:ext>
          </a:extLst>
        </xdr:cNvPr>
        <xdr:cNvCxnSpPr/>
      </xdr:nvCxnSpPr>
      <xdr:spPr>
        <a:xfrm flipV="1">
          <a:off x="7334250" y="800100"/>
          <a:ext cx="219075" cy="180975"/>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ธีม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9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B2177-36CF-4115-9D00-346D3099EB91}">
  <dimension ref="A2:K20"/>
  <sheetViews>
    <sheetView zoomScale="85" zoomScaleNormal="85" workbookViewId="0">
      <selection activeCell="A2" sqref="A2:G20"/>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82" t="s">
        <v>681</v>
      </c>
      <c r="C5" s="76">
        <v>3</v>
      </c>
      <c r="D5" s="77">
        <v>1100</v>
      </c>
      <c r="E5" s="77">
        <f t="shared" ref="E5:E6" si="0">+C5*D5</f>
        <v>3300</v>
      </c>
      <c r="F5" s="146">
        <v>30</v>
      </c>
      <c r="G5" s="148" t="s">
        <v>51</v>
      </c>
      <c r="K5" s="31" t="s">
        <v>459</v>
      </c>
    </row>
    <row r="6" spans="1:11" ht="25" customHeight="1">
      <c r="A6" s="146">
        <v>2</v>
      </c>
      <c r="B6" s="149" t="s">
        <v>605</v>
      </c>
      <c r="C6" s="76">
        <v>3</v>
      </c>
      <c r="D6" s="150">
        <v>455</v>
      </c>
      <c r="E6" s="77">
        <f t="shared" si="0"/>
        <v>1365</v>
      </c>
      <c r="F6" s="146">
        <v>30</v>
      </c>
      <c r="G6" s="154" t="s">
        <v>285</v>
      </c>
    </row>
    <row r="7" spans="1:11" ht="24">
      <c r="A7" s="146"/>
      <c r="B7" s="152"/>
      <c r="C7" s="76"/>
      <c r="D7" s="153"/>
      <c r="E7" s="77"/>
      <c r="F7" s="146"/>
      <c r="G7" s="151" t="s">
        <v>29</v>
      </c>
    </row>
    <row r="8" spans="1:11" ht="25" customHeight="1">
      <c r="A8" s="146"/>
      <c r="B8" s="153"/>
      <c r="C8" s="155"/>
      <c r="D8" s="77"/>
      <c r="E8" s="77"/>
      <c r="F8" s="146"/>
      <c r="G8" s="156" t="s">
        <v>509</v>
      </c>
    </row>
    <row r="9" spans="1:11" ht="25" customHeight="1">
      <c r="A9" s="146"/>
      <c r="B9" s="153"/>
      <c r="C9" s="157"/>
      <c r="D9" s="77"/>
      <c r="E9" s="77"/>
      <c r="F9" s="146"/>
      <c r="G9" s="158"/>
    </row>
    <row r="10" spans="1:11" ht="25" customHeight="1">
      <c r="A10" s="146"/>
      <c r="B10" s="153"/>
      <c r="C10" s="157"/>
      <c r="D10" s="77"/>
      <c r="E10" s="77"/>
      <c r="F10" s="146"/>
      <c r="G10" s="160" t="s">
        <v>463</v>
      </c>
    </row>
    <row r="11" spans="1:11" ht="25" customHeight="1">
      <c r="A11" s="146"/>
      <c r="B11" s="153"/>
      <c r="C11" s="157"/>
      <c r="D11" s="77"/>
      <c r="E11" s="77"/>
      <c r="F11" s="146"/>
      <c r="G11" s="154" t="s">
        <v>31</v>
      </c>
    </row>
    <row r="12" spans="1:11" ht="25" customHeight="1">
      <c r="A12" s="146"/>
      <c r="B12" s="153"/>
      <c r="C12" s="157"/>
      <c r="D12" s="77"/>
      <c r="E12" s="77"/>
      <c r="F12" s="146"/>
      <c r="G12" s="154" t="s">
        <v>28</v>
      </c>
    </row>
    <row r="13" spans="1:11" ht="25" customHeight="1">
      <c r="A13" s="146"/>
      <c r="B13" s="153"/>
      <c r="C13" s="157"/>
      <c r="D13" s="77"/>
      <c r="E13" s="77"/>
      <c r="F13" s="146"/>
      <c r="G13" s="154" t="s">
        <v>259</v>
      </c>
    </row>
    <row r="14" spans="1:11" ht="25" customHeight="1">
      <c r="A14" s="146"/>
      <c r="B14" s="153"/>
      <c r="C14" s="157"/>
      <c r="D14" s="77"/>
      <c r="E14" s="77"/>
      <c r="F14" s="146"/>
      <c r="G14" s="151"/>
    </row>
    <row r="15" spans="1:11" ht="25" customHeight="1">
      <c r="A15" s="146"/>
      <c r="B15" s="161"/>
      <c r="C15" s="157"/>
      <c r="D15" s="77"/>
      <c r="E15" s="77"/>
      <c r="F15" s="146"/>
      <c r="G15" s="158"/>
    </row>
    <row r="16" spans="1:11" ht="25" customHeight="1">
      <c r="A16" s="146"/>
      <c r="B16" s="153"/>
      <c r="C16" s="157"/>
      <c r="D16" s="55"/>
      <c r="E16" s="162"/>
      <c r="F16" s="146"/>
      <c r="G16" s="154"/>
    </row>
    <row r="17" spans="1:11" ht="25" customHeight="1">
      <c r="A17" s="165"/>
      <c r="B17" s="166" t="s">
        <v>35</v>
      </c>
      <c r="C17" s="165"/>
      <c r="D17" s="165"/>
      <c r="E17" s="175">
        <f>SUM(E5:E16)</f>
        <v>4665</v>
      </c>
      <c r="F17" s="165"/>
      <c r="G17" s="154"/>
    </row>
    <row r="18" spans="1:11" ht="25" customHeight="1">
      <c r="A18" s="165"/>
      <c r="B18" s="168" t="s">
        <v>114</v>
      </c>
      <c r="C18" s="54"/>
      <c r="D18" s="165"/>
      <c r="E18" s="169">
        <f>+E17*0.07</f>
        <v>326.55</v>
      </c>
      <c r="F18" s="165"/>
      <c r="G18" s="154"/>
      <c r="K18" s="22"/>
    </row>
    <row r="19" spans="1:11" ht="25" customHeight="1">
      <c r="A19" s="165"/>
      <c r="B19" s="166" t="s">
        <v>6</v>
      </c>
      <c r="C19" s="54"/>
      <c r="D19" s="165"/>
      <c r="E19" s="176">
        <f>+E17+E18</f>
        <v>4991.55</v>
      </c>
      <c r="F19" s="165"/>
      <c r="G19" s="154"/>
    </row>
    <row r="20" spans="1:11" ht="25" customHeight="1">
      <c r="A20" s="165"/>
      <c r="B20" s="171" t="s">
        <v>36</v>
      </c>
      <c r="C20" s="191" t="str">
        <f>BAHTTEXT(E19)</f>
        <v>สี่พันเก้าร้อยเก้าสิบเอ็ดบาทห้าสิบห้าสตางค์</v>
      </c>
      <c r="D20" s="192"/>
      <c r="E20" s="192"/>
      <c r="F20" s="192"/>
      <c r="G20" s="193"/>
    </row>
  </sheetData>
  <mergeCells count="6">
    <mergeCell ref="C20:G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01BC0-D251-48AA-91B6-C8EF1EB81A79}">
  <dimension ref="A2:K17"/>
  <sheetViews>
    <sheetView zoomScaleNormal="100" workbookViewId="0">
      <selection activeCell="A2" sqref="A2:G17"/>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c r="A5" s="146">
        <v>1</v>
      </c>
      <c r="B5" s="147" t="s">
        <v>680</v>
      </c>
      <c r="C5" s="76">
        <v>36</v>
      </c>
      <c r="D5" s="180">
        <v>145</v>
      </c>
      <c r="E5" s="77">
        <f>+C5*D5</f>
        <v>5220</v>
      </c>
      <c r="F5" s="146">
        <v>30</v>
      </c>
      <c r="G5" s="148" t="s">
        <v>51</v>
      </c>
      <c r="K5" s="31" t="s">
        <v>459</v>
      </c>
    </row>
    <row r="6" spans="1:11" ht="24">
      <c r="A6" s="146"/>
      <c r="B6" s="149"/>
      <c r="C6" s="76"/>
      <c r="D6" s="150"/>
      <c r="E6" s="77"/>
      <c r="F6" s="146"/>
      <c r="G6" s="156" t="s">
        <v>509</v>
      </c>
    </row>
    <row r="7" spans="1:11" ht="24">
      <c r="A7" s="146"/>
      <c r="B7" s="152"/>
      <c r="C7" s="76"/>
      <c r="D7" s="181"/>
      <c r="E7" s="77"/>
      <c r="F7" s="146"/>
      <c r="G7" s="154" t="s">
        <v>238</v>
      </c>
    </row>
    <row r="8" spans="1:11" ht="24">
      <c r="A8" s="146"/>
      <c r="B8" s="153"/>
      <c r="C8" s="155"/>
      <c r="D8" s="180"/>
      <c r="E8" s="77"/>
      <c r="F8" s="146"/>
      <c r="G8" s="154" t="s">
        <v>29</v>
      </c>
    </row>
    <row r="9" spans="1:11" ht="24">
      <c r="A9" s="146"/>
      <c r="B9" s="153"/>
      <c r="C9" s="157"/>
      <c r="D9" s="77"/>
      <c r="E9" s="77"/>
      <c r="F9" s="146"/>
      <c r="G9" s="154"/>
    </row>
    <row r="10" spans="1:11" ht="24">
      <c r="A10" s="146"/>
      <c r="B10" s="153"/>
      <c r="C10" s="157"/>
      <c r="D10" s="77"/>
      <c r="E10" s="77"/>
      <c r="F10" s="146"/>
      <c r="G10" s="160" t="s">
        <v>463</v>
      </c>
    </row>
    <row r="11" spans="1:11" ht="24">
      <c r="A11" s="146"/>
      <c r="B11" s="153"/>
      <c r="C11" s="157"/>
      <c r="D11" s="77"/>
      <c r="E11" s="77"/>
      <c r="F11" s="146"/>
      <c r="G11" s="154" t="s">
        <v>31</v>
      </c>
    </row>
    <row r="12" spans="1:11" ht="24">
      <c r="A12" s="146"/>
      <c r="B12" s="153"/>
      <c r="C12" s="157"/>
      <c r="D12" s="77"/>
      <c r="E12" s="77"/>
      <c r="F12" s="146"/>
      <c r="G12" s="154" t="s">
        <v>596</v>
      </c>
    </row>
    <row r="13" spans="1:11" ht="24">
      <c r="A13" s="146"/>
      <c r="B13" s="153"/>
      <c r="C13" s="157"/>
      <c r="D13" s="77"/>
      <c r="E13" s="77"/>
      <c r="F13" s="146"/>
      <c r="G13" s="154" t="s">
        <v>459</v>
      </c>
    </row>
    <row r="14" spans="1:11">
      <c r="A14" s="165"/>
      <c r="B14" s="166" t="s">
        <v>6</v>
      </c>
      <c r="C14" s="54"/>
      <c r="D14" s="165"/>
      <c r="E14" s="167">
        <f>SUM(E5:E13)</f>
        <v>5220</v>
      </c>
      <c r="F14" s="165"/>
      <c r="G14" s="154"/>
    </row>
    <row r="15" spans="1:11" ht="23">
      <c r="A15" s="165"/>
      <c r="B15" s="168" t="s">
        <v>114</v>
      </c>
      <c r="C15" s="54"/>
      <c r="D15" s="165"/>
      <c r="E15" s="174">
        <f>+E14*7%</f>
        <v>365.40000000000003</v>
      </c>
      <c r="F15" s="165"/>
      <c r="G15" s="154"/>
      <c r="K15" s="22"/>
    </row>
    <row r="16" spans="1:11" ht="22">
      <c r="A16" s="165"/>
      <c r="B16" s="166" t="s">
        <v>35</v>
      </c>
      <c r="C16" s="165"/>
      <c r="D16" s="165"/>
      <c r="E16" s="170">
        <f>SUM(E14:E15)</f>
        <v>5585.4</v>
      </c>
      <c r="F16" s="165"/>
      <c r="G16" s="154"/>
    </row>
    <row r="17" spans="1:7" ht="24">
      <c r="A17" s="165"/>
      <c r="B17" s="171" t="s">
        <v>36</v>
      </c>
      <c r="C17" s="191" t="str">
        <f>BAHTTEXT(E16)</f>
        <v>ห้าพันห้าร้อยแปดสิบห้าบาทสี่สิบสตางค์</v>
      </c>
      <c r="D17" s="192"/>
      <c r="E17" s="192"/>
      <c r="F17" s="192"/>
      <c r="G17" s="193"/>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568C-984A-4ABC-BC78-6503702E7C6E}">
  <dimension ref="A2:K17"/>
  <sheetViews>
    <sheetView topLeftCell="A3" zoomScaleNormal="100" workbookViewId="0">
      <selection activeCell="B11" sqref="B11"/>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7" t="s">
        <v>678</v>
      </c>
      <c r="C5" s="76">
        <v>1</v>
      </c>
      <c r="D5" s="180">
        <v>7750</v>
      </c>
      <c r="E5" s="77">
        <f>+C5*D5</f>
        <v>7750</v>
      </c>
      <c r="F5" s="146">
        <v>30</v>
      </c>
      <c r="G5" s="148" t="s">
        <v>51</v>
      </c>
      <c r="K5" s="31" t="s">
        <v>459</v>
      </c>
    </row>
    <row r="6" spans="1:11" ht="25" customHeight="1">
      <c r="A6" s="146">
        <v>2</v>
      </c>
      <c r="B6" s="149" t="s">
        <v>679</v>
      </c>
      <c r="C6" s="76">
        <v>1</v>
      </c>
      <c r="D6" s="150">
        <v>3464</v>
      </c>
      <c r="E6" s="77">
        <f t="shared" ref="E6:E8" si="0">+C6*D6</f>
        <v>3464</v>
      </c>
      <c r="F6" s="146">
        <v>30</v>
      </c>
      <c r="G6" s="156" t="s">
        <v>509</v>
      </c>
    </row>
    <row r="7" spans="1:11" ht="24">
      <c r="A7" s="146"/>
      <c r="B7" s="152"/>
      <c r="C7" s="76"/>
      <c r="D7" s="181"/>
      <c r="E7" s="77">
        <f t="shared" si="0"/>
        <v>0</v>
      </c>
      <c r="F7" s="146">
        <v>30</v>
      </c>
      <c r="G7" s="154" t="s">
        <v>238</v>
      </c>
    </row>
    <row r="8" spans="1:11" ht="25" customHeight="1">
      <c r="A8" s="146"/>
      <c r="B8" s="153"/>
      <c r="C8" s="155"/>
      <c r="D8" s="180"/>
      <c r="E8" s="77">
        <f t="shared" si="0"/>
        <v>0</v>
      </c>
      <c r="F8" s="146">
        <v>30</v>
      </c>
      <c r="G8" s="154" t="s">
        <v>29</v>
      </c>
    </row>
    <row r="9" spans="1:11" ht="25" customHeight="1">
      <c r="A9" s="146"/>
      <c r="B9" s="153"/>
      <c r="C9" s="157"/>
      <c r="D9" s="77"/>
      <c r="E9" s="77"/>
      <c r="F9" s="146"/>
      <c r="G9" s="154"/>
    </row>
    <row r="10" spans="1:11" ht="25" customHeight="1">
      <c r="A10" s="146"/>
      <c r="B10" s="153"/>
      <c r="C10" s="157"/>
      <c r="D10" s="77"/>
      <c r="E10" s="77"/>
      <c r="F10" s="146"/>
      <c r="G10" s="160" t="s">
        <v>463</v>
      </c>
    </row>
    <row r="11" spans="1:11" ht="25" customHeight="1">
      <c r="A11" s="146"/>
      <c r="B11" s="153"/>
      <c r="C11" s="157"/>
      <c r="D11" s="77"/>
      <c r="E11" s="77"/>
      <c r="F11" s="146"/>
      <c r="G11" s="154" t="s">
        <v>31</v>
      </c>
    </row>
    <row r="12" spans="1:11" ht="25" customHeight="1">
      <c r="A12" s="146"/>
      <c r="B12" s="153"/>
      <c r="C12" s="157"/>
      <c r="D12" s="77"/>
      <c r="E12" s="77"/>
      <c r="F12" s="146"/>
      <c r="G12" s="154" t="s">
        <v>596</v>
      </c>
    </row>
    <row r="13" spans="1:11" ht="25" customHeight="1">
      <c r="A13" s="146"/>
      <c r="B13" s="153"/>
      <c r="C13" s="157"/>
      <c r="D13" s="77"/>
      <c r="E13" s="77"/>
      <c r="F13" s="146"/>
      <c r="G13" s="154" t="s">
        <v>459</v>
      </c>
    </row>
    <row r="14" spans="1:11" ht="25" customHeight="1">
      <c r="A14" s="165"/>
      <c r="B14" s="166" t="s">
        <v>6</v>
      </c>
      <c r="C14" s="54"/>
      <c r="D14" s="165"/>
      <c r="E14" s="167">
        <f>SUM(E5:E13)</f>
        <v>11214</v>
      </c>
      <c r="F14" s="165"/>
      <c r="G14" s="154"/>
    </row>
    <row r="15" spans="1:11" ht="25" customHeight="1">
      <c r="A15" s="165"/>
      <c r="B15" s="168" t="s">
        <v>114</v>
      </c>
      <c r="C15" s="54"/>
      <c r="D15" s="165"/>
      <c r="E15" s="174">
        <f>+E14*7%</f>
        <v>784.98</v>
      </c>
      <c r="F15" s="165"/>
      <c r="G15" s="154"/>
      <c r="K15" s="22"/>
    </row>
    <row r="16" spans="1:11" ht="25" customHeight="1">
      <c r="A16" s="165"/>
      <c r="B16" s="166" t="s">
        <v>35</v>
      </c>
      <c r="C16" s="165"/>
      <c r="D16" s="165"/>
      <c r="E16" s="170">
        <f>SUM(E14:E15)</f>
        <v>11998.98</v>
      </c>
      <c r="F16" s="165"/>
      <c r="G16" s="154"/>
    </row>
    <row r="17" spans="1:7" ht="25" customHeight="1">
      <c r="A17" s="165"/>
      <c r="B17" s="171" t="s">
        <v>36</v>
      </c>
      <c r="C17" s="191" t="str">
        <f>BAHTTEXT(E16)</f>
        <v>หนึ่งหมื่นหนึ่งพันเก้าร้อยเก้าสิบแปดบาทเก้าสิบแปดสตางค์</v>
      </c>
      <c r="D17" s="192"/>
      <c r="E17" s="192"/>
      <c r="F17" s="192"/>
      <c r="G17" s="193"/>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DD2F0-4B52-46A3-A783-5F2A117E3A2C}">
  <dimension ref="A2:K17"/>
  <sheetViews>
    <sheetView tabSelected="1" zoomScale="85" zoomScaleNormal="85" workbookViewId="0">
      <selection activeCell="J16" sqref="J16"/>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7" t="s">
        <v>674</v>
      </c>
      <c r="C5" s="76">
        <v>1</v>
      </c>
      <c r="D5" s="180">
        <v>4800</v>
      </c>
      <c r="E5" s="77">
        <f>+C5*D5</f>
        <v>4800</v>
      </c>
      <c r="F5" s="146">
        <v>30</v>
      </c>
      <c r="G5" s="148" t="s">
        <v>51</v>
      </c>
      <c r="K5" s="31" t="s">
        <v>459</v>
      </c>
    </row>
    <row r="6" spans="1:11" ht="25" customHeight="1">
      <c r="A6" s="146">
        <v>2</v>
      </c>
      <c r="B6" s="149" t="s">
        <v>675</v>
      </c>
      <c r="C6" s="76">
        <v>3</v>
      </c>
      <c r="D6" s="150">
        <v>1500</v>
      </c>
      <c r="E6" s="77">
        <f t="shared" ref="E6:E8" si="0">+C6*D6</f>
        <v>4500</v>
      </c>
      <c r="F6" s="146">
        <v>30</v>
      </c>
      <c r="G6" s="154" t="s">
        <v>29</v>
      </c>
    </row>
    <row r="7" spans="1:11" ht="24">
      <c r="A7" s="146">
        <v>3</v>
      </c>
      <c r="B7" s="152" t="s">
        <v>676</v>
      </c>
      <c r="C7" s="76">
        <v>1</v>
      </c>
      <c r="D7" s="181">
        <v>4000</v>
      </c>
      <c r="E7" s="77">
        <f t="shared" si="0"/>
        <v>4000</v>
      </c>
      <c r="F7" s="146">
        <v>30</v>
      </c>
      <c r="G7" s="154" t="s">
        <v>238</v>
      </c>
    </row>
    <row r="8" spans="1:11" ht="25" customHeight="1">
      <c r="A8" s="146">
        <v>4</v>
      </c>
      <c r="B8" s="153" t="s">
        <v>677</v>
      </c>
      <c r="C8" s="155">
        <v>1</v>
      </c>
      <c r="D8" s="180">
        <v>3522</v>
      </c>
      <c r="E8" s="77">
        <f t="shared" si="0"/>
        <v>3522</v>
      </c>
      <c r="F8" s="146">
        <v>30</v>
      </c>
      <c r="G8" s="156" t="s">
        <v>509</v>
      </c>
    </row>
    <row r="9" spans="1:11" ht="25" customHeight="1">
      <c r="A9" s="146"/>
      <c r="B9" s="153"/>
      <c r="C9" s="157"/>
      <c r="D9" s="77"/>
      <c r="E9" s="77"/>
      <c r="F9" s="146"/>
      <c r="G9" s="158"/>
    </row>
    <row r="10" spans="1:11" ht="25" customHeight="1">
      <c r="A10" s="146"/>
      <c r="B10" s="153"/>
      <c r="C10" s="157"/>
      <c r="D10" s="77"/>
      <c r="E10" s="77"/>
      <c r="F10" s="146"/>
      <c r="G10" s="160" t="s">
        <v>463</v>
      </c>
    </row>
    <row r="11" spans="1:11" ht="25" customHeight="1">
      <c r="A11" s="146"/>
      <c r="B11" s="153"/>
      <c r="C11" s="157"/>
      <c r="D11" s="77"/>
      <c r="E11" s="77"/>
      <c r="F11" s="146"/>
      <c r="G11" s="154" t="s">
        <v>31</v>
      </c>
    </row>
    <row r="12" spans="1:11" ht="25" customHeight="1">
      <c r="A12" s="146"/>
      <c r="B12" s="153"/>
      <c r="C12" s="157"/>
      <c r="D12" s="77"/>
      <c r="E12" s="77"/>
      <c r="F12" s="146"/>
      <c r="G12" s="154" t="s">
        <v>596</v>
      </c>
    </row>
    <row r="13" spans="1:11" ht="25" customHeight="1">
      <c r="A13" s="146"/>
      <c r="B13" s="153"/>
      <c r="C13" s="157"/>
      <c r="D13" s="77"/>
      <c r="E13" s="77"/>
      <c r="F13" s="146"/>
      <c r="G13" s="154" t="s">
        <v>459</v>
      </c>
    </row>
    <row r="14" spans="1:11" ht="25" customHeight="1">
      <c r="A14" s="165"/>
      <c r="B14" s="166" t="s">
        <v>6</v>
      </c>
      <c r="C14" s="54"/>
      <c r="D14" s="165"/>
      <c r="E14" s="167">
        <f>SUM(E5:E13)</f>
        <v>16822</v>
      </c>
      <c r="F14" s="165"/>
      <c r="G14" s="154"/>
    </row>
    <row r="15" spans="1:11" ht="25" customHeight="1">
      <c r="A15" s="165"/>
      <c r="B15" s="168" t="s">
        <v>114</v>
      </c>
      <c r="C15" s="54"/>
      <c r="D15" s="165"/>
      <c r="E15" s="174">
        <f>+E14*7%</f>
        <v>1177.5400000000002</v>
      </c>
      <c r="F15" s="165"/>
      <c r="G15" s="154"/>
      <c r="K15" s="22"/>
    </row>
    <row r="16" spans="1:11" ht="25" customHeight="1">
      <c r="A16" s="165"/>
      <c r="B16" s="166" t="s">
        <v>35</v>
      </c>
      <c r="C16" s="165"/>
      <c r="D16" s="165"/>
      <c r="E16" s="170">
        <f>SUM(E14:E15)</f>
        <v>17999.54</v>
      </c>
      <c r="F16" s="165"/>
      <c r="G16" s="154"/>
    </row>
    <row r="17" spans="1:7" ht="25" customHeight="1">
      <c r="A17" s="165"/>
      <c r="B17" s="171" t="s">
        <v>36</v>
      </c>
      <c r="C17" s="191" t="str">
        <f>BAHTTEXT(E16)</f>
        <v>หนึ่งหมื่นเจ็ดพันเก้าร้อยเก้าสิบเก้าบาทห้าสิบสี่สตางค์</v>
      </c>
      <c r="D17" s="192"/>
      <c r="E17" s="192"/>
      <c r="F17" s="192"/>
      <c r="G17" s="193"/>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B0C2-816C-47BB-9EB9-D727D2558FD1}">
  <sheetPr>
    <pageSetUpPr fitToPage="1"/>
  </sheetPr>
  <dimension ref="A2:J27"/>
  <sheetViews>
    <sheetView zoomScale="115" zoomScaleNormal="115" workbookViewId="0">
      <selection activeCell="A2" sqref="A2:G27"/>
    </sheetView>
  </sheetViews>
  <sheetFormatPr defaultColWidth="9.08203125" defaultRowHeight="20.5"/>
  <cols>
    <col min="1" max="1" width="9.08203125" style="1"/>
    <col min="2" max="2" width="58.8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10">
      <c r="A2" s="198" t="s">
        <v>0</v>
      </c>
      <c r="B2" s="199" t="s">
        <v>1</v>
      </c>
      <c r="C2" s="198" t="s">
        <v>2</v>
      </c>
      <c r="D2" s="200" t="s">
        <v>3</v>
      </c>
      <c r="E2" s="201"/>
      <c r="F2" s="199" t="s">
        <v>7</v>
      </c>
      <c r="G2" s="194" t="s">
        <v>163</v>
      </c>
    </row>
    <row r="3" spans="1:10">
      <c r="A3" s="198"/>
      <c r="B3" s="199"/>
      <c r="C3" s="198"/>
      <c r="D3" s="49" t="s">
        <v>5</v>
      </c>
      <c r="E3" s="50" t="s">
        <v>6</v>
      </c>
      <c r="F3" s="199"/>
      <c r="G3" s="195"/>
    </row>
    <row r="4" spans="1:10">
      <c r="A4" s="198"/>
      <c r="B4" s="199"/>
      <c r="C4" s="198"/>
      <c r="D4" s="51" t="s">
        <v>4</v>
      </c>
      <c r="E4" s="51" t="s">
        <v>4</v>
      </c>
      <c r="F4" s="199"/>
      <c r="G4" s="196"/>
    </row>
    <row r="5" spans="1:10" ht="21" customHeight="1">
      <c r="A5" s="52">
        <v>1</v>
      </c>
      <c r="B5" s="75" t="s">
        <v>639</v>
      </c>
      <c r="C5" s="76">
        <v>2</v>
      </c>
      <c r="D5" s="77">
        <v>5000</v>
      </c>
      <c r="E5" s="134">
        <f>D5*C5</f>
        <v>10000</v>
      </c>
      <c r="F5" s="73">
        <v>30</v>
      </c>
      <c r="G5" s="57" t="s">
        <v>161</v>
      </c>
    </row>
    <row r="6" spans="1:10" ht="21" customHeight="1">
      <c r="A6" s="52"/>
      <c r="B6" s="75" t="s">
        <v>640</v>
      </c>
      <c r="C6" s="76"/>
      <c r="D6" s="77"/>
      <c r="E6" s="134"/>
      <c r="F6" s="73"/>
      <c r="G6" s="154" t="s">
        <v>238</v>
      </c>
    </row>
    <row r="7" spans="1:10" ht="21" customHeight="1">
      <c r="A7" s="52"/>
      <c r="B7" s="75" t="s">
        <v>641</v>
      </c>
      <c r="C7" s="76"/>
      <c r="D7" s="77"/>
      <c r="E7" s="134"/>
      <c r="F7" s="73"/>
      <c r="G7" s="154" t="s">
        <v>29</v>
      </c>
    </row>
    <row r="8" spans="1:10" ht="24">
      <c r="A8" s="52"/>
      <c r="B8" s="177" t="s">
        <v>642</v>
      </c>
      <c r="C8" s="76"/>
      <c r="D8" s="77"/>
      <c r="E8" s="134"/>
      <c r="F8" s="73"/>
      <c r="G8" s="156" t="s">
        <v>509</v>
      </c>
      <c r="J8" s="27"/>
    </row>
    <row r="9" spans="1:10">
      <c r="A9" s="52"/>
      <c r="B9" s="72"/>
      <c r="C9" s="76"/>
      <c r="D9" s="77"/>
      <c r="E9" s="134"/>
      <c r="F9" s="73"/>
      <c r="G9" s="27"/>
    </row>
    <row r="10" spans="1:10">
      <c r="A10" s="52">
        <v>2</v>
      </c>
      <c r="B10" s="75" t="s">
        <v>639</v>
      </c>
      <c r="C10" s="76">
        <v>2</v>
      </c>
      <c r="D10" s="77">
        <v>5000</v>
      </c>
      <c r="E10" s="134">
        <f t="shared" ref="E10" si="0">D10*C10</f>
        <v>10000</v>
      </c>
      <c r="F10" s="73">
        <v>30</v>
      </c>
      <c r="G10" s="60" t="s">
        <v>162</v>
      </c>
    </row>
    <row r="11" spans="1:10">
      <c r="A11" s="52"/>
      <c r="B11" s="75" t="s">
        <v>644</v>
      </c>
      <c r="C11" s="54"/>
      <c r="D11" s="55"/>
      <c r="E11" s="58"/>
      <c r="F11" s="52"/>
      <c r="G11" s="154" t="s">
        <v>31</v>
      </c>
    </row>
    <row r="12" spans="1:10">
      <c r="A12" s="52"/>
      <c r="B12" s="177" t="s">
        <v>643</v>
      </c>
      <c r="C12" s="54"/>
      <c r="D12" s="55"/>
      <c r="E12" s="58"/>
      <c r="F12" s="52"/>
      <c r="G12" s="154" t="s">
        <v>596</v>
      </c>
    </row>
    <row r="13" spans="1:10">
      <c r="A13" s="52"/>
      <c r="B13" s="177"/>
      <c r="C13" s="54"/>
      <c r="D13" s="55"/>
      <c r="E13" s="58"/>
      <c r="F13" s="52"/>
      <c r="G13" s="154" t="s">
        <v>459</v>
      </c>
    </row>
    <row r="14" spans="1:10">
      <c r="A14" s="52"/>
      <c r="B14" s="53"/>
      <c r="C14" s="54"/>
      <c r="D14" s="55"/>
      <c r="E14" s="58"/>
      <c r="F14" s="52"/>
      <c r="G14" s="27"/>
    </row>
    <row r="15" spans="1:10" ht="41">
      <c r="A15" s="52"/>
      <c r="B15" s="53"/>
      <c r="C15" s="54"/>
      <c r="D15" s="55"/>
      <c r="E15" s="58"/>
      <c r="F15" s="52"/>
      <c r="G15" s="69" t="s">
        <v>164</v>
      </c>
    </row>
    <row r="16" spans="1:10">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20000</v>
      </c>
      <c r="F23" s="62"/>
      <c r="G23" s="2"/>
    </row>
    <row r="24" spans="1:7" ht="24.5">
      <c r="A24" s="62"/>
      <c r="B24" s="63" t="s">
        <v>34</v>
      </c>
      <c r="C24" s="54"/>
      <c r="D24" s="62"/>
      <c r="E24" s="65">
        <f>E23*0%</f>
        <v>0</v>
      </c>
      <c r="F24" s="62"/>
      <c r="G24" s="2"/>
    </row>
    <row r="25" spans="1:7" ht="24.5">
      <c r="A25" s="62"/>
      <c r="B25" s="66" t="s">
        <v>35</v>
      </c>
      <c r="C25" s="62"/>
      <c r="D25" s="62"/>
      <c r="E25" s="67">
        <f>SUM(E23:E24)</f>
        <v>20000</v>
      </c>
      <c r="F25" s="62"/>
      <c r="G25" s="62"/>
    </row>
    <row r="26" spans="1:7" ht="24.5">
      <c r="A26" s="62"/>
      <c r="B26" s="66"/>
      <c r="C26" s="62"/>
      <c r="D26" s="62"/>
      <c r="E26" s="67"/>
      <c r="F26" s="62"/>
      <c r="G26" s="62"/>
    </row>
    <row r="27" spans="1:7" ht="33">
      <c r="A27" s="62"/>
      <c r="B27" s="68" t="s">
        <v>36</v>
      </c>
      <c r="C27" s="197" t="str">
        <f>BAHTTEXT(E25)</f>
        <v>สองหมื่นบาทถ้วน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0B1FF-F215-4DED-BB4D-4F791A868CE0}">
  <dimension ref="A2:K43"/>
  <sheetViews>
    <sheetView topLeftCell="A11" zoomScaleNormal="100" workbookViewId="0">
      <selection activeCell="D3" sqref="A3:XFD36"/>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16" t="s">
        <v>645</v>
      </c>
      <c r="C5" s="76">
        <v>10</v>
      </c>
      <c r="D5" s="77">
        <v>550</v>
      </c>
      <c r="E5" s="77">
        <f>+C5*D5</f>
        <v>5500</v>
      </c>
      <c r="F5" s="146">
        <v>30</v>
      </c>
      <c r="G5" s="148" t="s">
        <v>51</v>
      </c>
      <c r="K5" s="31" t="s">
        <v>459</v>
      </c>
    </row>
    <row r="6" spans="1:11" ht="25" customHeight="1">
      <c r="A6" s="146">
        <v>2</v>
      </c>
      <c r="B6" s="103" t="s">
        <v>646</v>
      </c>
      <c r="C6" s="76">
        <v>4</v>
      </c>
      <c r="D6" s="150">
        <v>1000</v>
      </c>
      <c r="E6" s="77">
        <f t="shared" ref="E6:E34" si="0">+C6*D6</f>
        <v>4000</v>
      </c>
      <c r="F6" s="146">
        <v>30</v>
      </c>
      <c r="G6" s="154" t="s">
        <v>238</v>
      </c>
    </row>
    <row r="7" spans="1:11" ht="24">
      <c r="A7" s="146">
        <v>3</v>
      </c>
      <c r="B7" s="128" t="s">
        <v>647</v>
      </c>
      <c r="C7" s="76">
        <v>3</v>
      </c>
      <c r="D7" s="153">
        <v>2500</v>
      </c>
      <c r="E7" s="77">
        <f t="shared" si="0"/>
        <v>7500</v>
      </c>
      <c r="F7" s="146">
        <v>30</v>
      </c>
      <c r="G7" s="154" t="s">
        <v>29</v>
      </c>
    </row>
    <row r="8" spans="1:11" ht="25" customHeight="1">
      <c r="A8" s="146">
        <v>4</v>
      </c>
      <c r="B8" s="179" t="s">
        <v>648</v>
      </c>
      <c r="C8" s="155">
        <v>4</v>
      </c>
      <c r="D8" s="77">
        <v>450</v>
      </c>
      <c r="E8" s="77">
        <f t="shared" si="0"/>
        <v>1800</v>
      </c>
      <c r="F8" s="146">
        <v>30</v>
      </c>
      <c r="G8" s="156" t="s">
        <v>509</v>
      </c>
    </row>
    <row r="9" spans="1:11" ht="25" customHeight="1">
      <c r="A9" s="146">
        <v>5</v>
      </c>
      <c r="B9" s="178" t="s">
        <v>649</v>
      </c>
      <c r="C9" s="157">
        <v>2</v>
      </c>
      <c r="D9" s="77">
        <v>1200</v>
      </c>
      <c r="E9" s="77">
        <f t="shared" si="0"/>
        <v>2400</v>
      </c>
      <c r="F9" s="146">
        <v>30</v>
      </c>
      <c r="G9" s="154"/>
    </row>
    <row r="10" spans="1:11" ht="25" customHeight="1">
      <c r="A10" s="146">
        <v>6</v>
      </c>
      <c r="B10" s="178" t="s">
        <v>650</v>
      </c>
      <c r="C10" s="157">
        <v>2</v>
      </c>
      <c r="D10" s="77">
        <v>1200</v>
      </c>
      <c r="E10" s="77">
        <f t="shared" si="0"/>
        <v>2400</v>
      </c>
      <c r="F10" s="146">
        <v>30</v>
      </c>
      <c r="G10" s="160" t="s">
        <v>463</v>
      </c>
    </row>
    <row r="11" spans="1:11" ht="25" customHeight="1">
      <c r="A11" s="146">
        <v>7</v>
      </c>
      <c r="B11" s="178" t="s">
        <v>651</v>
      </c>
      <c r="C11" s="157">
        <v>2</v>
      </c>
      <c r="D11" s="77">
        <v>1000</v>
      </c>
      <c r="E11" s="77">
        <f t="shared" si="0"/>
        <v>2000</v>
      </c>
      <c r="F11" s="146">
        <v>30</v>
      </c>
      <c r="G11" s="154" t="s">
        <v>31</v>
      </c>
    </row>
    <row r="12" spans="1:11" ht="25" customHeight="1">
      <c r="A12" s="146">
        <v>8</v>
      </c>
      <c r="B12" s="178" t="s">
        <v>652</v>
      </c>
      <c r="C12" s="157">
        <v>1</v>
      </c>
      <c r="D12" s="77">
        <v>3000</v>
      </c>
      <c r="E12" s="77">
        <f t="shared" si="0"/>
        <v>3000</v>
      </c>
      <c r="F12" s="146">
        <v>30</v>
      </c>
      <c r="G12" s="154" t="s">
        <v>596</v>
      </c>
    </row>
    <row r="13" spans="1:11" ht="25" customHeight="1">
      <c r="A13" s="146">
        <v>9</v>
      </c>
      <c r="B13" s="178" t="s">
        <v>653</v>
      </c>
      <c r="C13" s="157">
        <v>100</v>
      </c>
      <c r="D13" s="77">
        <v>30</v>
      </c>
      <c r="E13" s="77">
        <f t="shared" si="0"/>
        <v>3000</v>
      </c>
      <c r="F13" s="146">
        <v>30</v>
      </c>
      <c r="G13" s="154" t="s">
        <v>459</v>
      </c>
    </row>
    <row r="14" spans="1:11" ht="25" customHeight="1">
      <c r="A14" s="146">
        <v>10</v>
      </c>
      <c r="B14" s="178" t="s">
        <v>654</v>
      </c>
      <c r="C14" s="157">
        <v>10</v>
      </c>
      <c r="D14" s="77">
        <v>150</v>
      </c>
      <c r="E14" s="77">
        <f t="shared" si="0"/>
        <v>1500</v>
      </c>
      <c r="F14" s="146">
        <v>30</v>
      </c>
      <c r="G14" s="153"/>
    </row>
    <row r="15" spans="1:11" ht="25" customHeight="1">
      <c r="A15" s="146">
        <v>11</v>
      </c>
      <c r="B15" s="178" t="s">
        <v>655</v>
      </c>
      <c r="C15" s="157">
        <v>100</v>
      </c>
      <c r="D15" s="77">
        <v>30</v>
      </c>
      <c r="E15" s="77">
        <f t="shared" si="0"/>
        <v>3000</v>
      </c>
      <c r="F15" s="146">
        <v>30</v>
      </c>
      <c r="G15" s="153"/>
    </row>
    <row r="16" spans="1:11" ht="25" customHeight="1">
      <c r="A16" s="146">
        <v>12</v>
      </c>
      <c r="B16" s="178" t="s">
        <v>656</v>
      </c>
      <c r="C16" s="157">
        <v>50</v>
      </c>
      <c r="D16" s="77">
        <v>40</v>
      </c>
      <c r="E16" s="77">
        <f t="shared" si="0"/>
        <v>2000</v>
      </c>
      <c r="F16" s="146">
        <v>30</v>
      </c>
      <c r="G16" s="153"/>
    </row>
    <row r="17" spans="1:7" ht="25" customHeight="1">
      <c r="A17" s="146">
        <v>13</v>
      </c>
      <c r="B17" s="178" t="s">
        <v>657</v>
      </c>
      <c r="C17" s="157">
        <v>3</v>
      </c>
      <c r="D17" s="77">
        <v>750</v>
      </c>
      <c r="E17" s="77">
        <f t="shared" si="0"/>
        <v>2250</v>
      </c>
      <c r="F17" s="146">
        <v>30</v>
      </c>
      <c r="G17" s="153"/>
    </row>
    <row r="18" spans="1:7" ht="25" customHeight="1">
      <c r="A18" s="146">
        <v>14</v>
      </c>
      <c r="B18" s="178" t="s">
        <v>658</v>
      </c>
      <c r="C18" s="157">
        <v>3</v>
      </c>
      <c r="D18" s="77">
        <v>500</v>
      </c>
      <c r="E18" s="77">
        <f t="shared" si="0"/>
        <v>1500</v>
      </c>
      <c r="F18" s="146">
        <v>30</v>
      </c>
      <c r="G18" s="153"/>
    </row>
    <row r="19" spans="1:7" ht="25" customHeight="1">
      <c r="A19" s="146">
        <v>15</v>
      </c>
      <c r="B19" s="179" t="s">
        <v>659</v>
      </c>
      <c r="C19" s="157">
        <v>5</v>
      </c>
      <c r="D19" s="77">
        <v>100</v>
      </c>
      <c r="E19" s="77">
        <f t="shared" si="0"/>
        <v>500</v>
      </c>
      <c r="F19" s="146">
        <v>30</v>
      </c>
      <c r="G19" s="153"/>
    </row>
    <row r="20" spans="1:7" ht="25" customHeight="1">
      <c r="A20" s="146">
        <v>16</v>
      </c>
      <c r="B20" s="178" t="s">
        <v>660</v>
      </c>
      <c r="C20" s="157">
        <v>1</v>
      </c>
      <c r="D20" s="77">
        <v>2000</v>
      </c>
      <c r="E20" s="77">
        <f t="shared" si="0"/>
        <v>2000</v>
      </c>
      <c r="F20" s="146">
        <v>30</v>
      </c>
      <c r="G20" s="153"/>
    </row>
    <row r="21" spans="1:7" ht="25" customHeight="1">
      <c r="A21" s="146">
        <v>17</v>
      </c>
      <c r="B21" s="178" t="s">
        <v>661</v>
      </c>
      <c r="C21" s="157">
        <v>25</v>
      </c>
      <c r="D21" s="77">
        <v>500</v>
      </c>
      <c r="E21" s="77">
        <f t="shared" si="0"/>
        <v>12500</v>
      </c>
      <c r="F21" s="146">
        <v>30</v>
      </c>
      <c r="G21" s="153"/>
    </row>
    <row r="22" spans="1:7" ht="25" customHeight="1">
      <c r="A22" s="146">
        <v>18</v>
      </c>
      <c r="B22" s="178" t="s">
        <v>662</v>
      </c>
      <c r="C22" s="157">
        <v>30</v>
      </c>
      <c r="D22" s="77">
        <v>220</v>
      </c>
      <c r="E22" s="77">
        <f t="shared" si="0"/>
        <v>6600</v>
      </c>
      <c r="F22" s="146">
        <v>30</v>
      </c>
      <c r="G22" s="153"/>
    </row>
    <row r="23" spans="1:7" ht="25" customHeight="1">
      <c r="A23" s="146">
        <v>19</v>
      </c>
      <c r="B23" s="178" t="s">
        <v>663</v>
      </c>
      <c r="C23" s="157">
        <v>40</v>
      </c>
      <c r="D23" s="77">
        <v>30</v>
      </c>
      <c r="E23" s="77">
        <f t="shared" si="0"/>
        <v>1200</v>
      </c>
      <c r="F23" s="146">
        <v>30</v>
      </c>
      <c r="G23" s="153"/>
    </row>
    <row r="24" spans="1:7" ht="25" customHeight="1">
      <c r="A24" s="146">
        <v>20</v>
      </c>
      <c r="B24" s="178" t="s">
        <v>664</v>
      </c>
      <c r="C24" s="157">
        <v>30</v>
      </c>
      <c r="D24" s="77">
        <v>30</v>
      </c>
      <c r="E24" s="77">
        <f t="shared" si="0"/>
        <v>900</v>
      </c>
      <c r="F24" s="146">
        <v>30</v>
      </c>
      <c r="G24" s="153"/>
    </row>
    <row r="25" spans="1:7" ht="25" customHeight="1">
      <c r="A25" s="146">
        <v>21</v>
      </c>
      <c r="B25" s="178" t="s">
        <v>665</v>
      </c>
      <c r="C25" s="157">
        <v>30</v>
      </c>
      <c r="D25" s="77">
        <v>30</v>
      </c>
      <c r="E25" s="77">
        <f t="shared" si="0"/>
        <v>900</v>
      </c>
      <c r="F25" s="146">
        <v>30</v>
      </c>
      <c r="G25" s="153"/>
    </row>
    <row r="26" spans="1:7" ht="25" customHeight="1">
      <c r="A26" s="146">
        <v>22</v>
      </c>
      <c r="B26" s="178" t="s">
        <v>666</v>
      </c>
      <c r="C26" s="157">
        <v>30</v>
      </c>
      <c r="D26" s="77">
        <v>20</v>
      </c>
      <c r="E26" s="77">
        <f t="shared" si="0"/>
        <v>600</v>
      </c>
      <c r="F26" s="146">
        <v>30</v>
      </c>
      <c r="G26" s="153"/>
    </row>
    <row r="27" spans="1:7" ht="25" customHeight="1">
      <c r="A27" s="146">
        <v>23</v>
      </c>
      <c r="B27" s="178" t="s">
        <v>667</v>
      </c>
      <c r="C27" s="157">
        <v>100</v>
      </c>
      <c r="D27" s="77">
        <v>10</v>
      </c>
      <c r="E27" s="77">
        <f t="shared" si="0"/>
        <v>1000</v>
      </c>
      <c r="F27" s="146">
        <v>30</v>
      </c>
      <c r="G27" s="153"/>
    </row>
    <row r="28" spans="1:7" ht="25" customHeight="1">
      <c r="A28" s="146">
        <v>24</v>
      </c>
      <c r="B28" s="179" t="s">
        <v>668</v>
      </c>
      <c r="C28" s="157">
        <v>100</v>
      </c>
      <c r="D28" s="77">
        <v>35</v>
      </c>
      <c r="E28" s="77">
        <f t="shared" si="0"/>
        <v>3500</v>
      </c>
      <c r="F28" s="146">
        <v>30</v>
      </c>
      <c r="G28" s="153"/>
    </row>
    <row r="29" spans="1:7" ht="25" customHeight="1">
      <c r="A29" s="146">
        <v>25</v>
      </c>
      <c r="B29" s="178" t="s">
        <v>669</v>
      </c>
      <c r="C29" s="157">
        <v>100</v>
      </c>
      <c r="D29" s="77">
        <v>15</v>
      </c>
      <c r="E29" s="77">
        <f t="shared" si="0"/>
        <v>1500</v>
      </c>
      <c r="F29" s="146">
        <v>30</v>
      </c>
      <c r="G29" s="153"/>
    </row>
    <row r="30" spans="1:7" ht="25" customHeight="1">
      <c r="A30" s="146">
        <v>26</v>
      </c>
      <c r="B30" s="178" t="s">
        <v>670</v>
      </c>
      <c r="C30" s="157">
        <v>1</v>
      </c>
      <c r="D30" s="77">
        <v>150</v>
      </c>
      <c r="E30" s="77">
        <f t="shared" si="0"/>
        <v>150</v>
      </c>
      <c r="F30" s="146">
        <v>30</v>
      </c>
      <c r="G30" s="148" t="s">
        <v>51</v>
      </c>
    </row>
    <row r="31" spans="1:7" ht="25" customHeight="1">
      <c r="A31" s="146">
        <v>27</v>
      </c>
      <c r="B31" s="178" t="s">
        <v>671</v>
      </c>
      <c r="C31" s="157">
        <v>10</v>
      </c>
      <c r="D31" s="77">
        <v>200</v>
      </c>
      <c r="E31" s="77">
        <f t="shared" si="0"/>
        <v>2000</v>
      </c>
      <c r="F31" s="146">
        <v>30</v>
      </c>
      <c r="G31" s="154" t="s">
        <v>238</v>
      </c>
    </row>
    <row r="32" spans="1:7" ht="25" customHeight="1">
      <c r="A32" s="146">
        <v>28</v>
      </c>
      <c r="B32" s="178" t="s">
        <v>396</v>
      </c>
      <c r="C32" s="157">
        <v>200</v>
      </c>
      <c r="D32" s="77">
        <v>0.25</v>
      </c>
      <c r="E32" s="77">
        <f t="shared" si="0"/>
        <v>50</v>
      </c>
      <c r="F32" s="146">
        <v>30</v>
      </c>
      <c r="G32" s="154" t="s">
        <v>29</v>
      </c>
    </row>
    <row r="33" spans="1:11" ht="25" customHeight="1">
      <c r="A33" s="146">
        <v>29</v>
      </c>
      <c r="B33" s="178" t="s">
        <v>672</v>
      </c>
      <c r="C33" s="157">
        <v>2</v>
      </c>
      <c r="D33" s="77">
        <v>250</v>
      </c>
      <c r="E33" s="77">
        <f t="shared" si="0"/>
        <v>500</v>
      </c>
      <c r="F33" s="146">
        <v>30</v>
      </c>
      <c r="G33" s="156" t="s">
        <v>509</v>
      </c>
    </row>
    <row r="34" spans="1:11" ht="25" customHeight="1">
      <c r="A34" s="146">
        <v>30</v>
      </c>
      <c r="B34" s="178" t="s">
        <v>673</v>
      </c>
      <c r="C34" s="157">
        <v>2</v>
      </c>
      <c r="D34" s="77">
        <v>390</v>
      </c>
      <c r="E34" s="77">
        <f t="shared" si="0"/>
        <v>780</v>
      </c>
      <c r="F34" s="146">
        <v>30</v>
      </c>
      <c r="G34" s="154"/>
    </row>
    <row r="35" spans="1:11" ht="25" customHeight="1">
      <c r="A35" s="146"/>
      <c r="B35" s="178"/>
      <c r="C35" s="157"/>
      <c r="D35" s="77"/>
      <c r="E35" s="77"/>
      <c r="F35" s="146"/>
      <c r="G35" s="160" t="s">
        <v>463</v>
      </c>
    </row>
    <row r="36" spans="1:11" ht="25" customHeight="1">
      <c r="A36" s="146"/>
      <c r="B36" s="178"/>
      <c r="C36" s="157"/>
      <c r="D36" s="77"/>
      <c r="E36" s="77"/>
      <c r="F36" s="146"/>
      <c r="G36" s="154" t="s">
        <v>31</v>
      </c>
    </row>
    <row r="37" spans="1:11" ht="25" customHeight="1">
      <c r="A37" s="146"/>
      <c r="B37" s="178"/>
      <c r="C37" s="157"/>
      <c r="D37" s="77"/>
      <c r="E37" s="77"/>
      <c r="F37" s="146"/>
      <c r="G37" s="154" t="s">
        <v>596</v>
      </c>
    </row>
    <row r="38" spans="1:11" ht="25" customHeight="1">
      <c r="A38" s="146"/>
      <c r="B38" s="178"/>
      <c r="C38" s="157"/>
      <c r="D38" s="77"/>
      <c r="E38" s="77"/>
      <c r="F38" s="146"/>
      <c r="G38" s="154" t="s">
        <v>459</v>
      </c>
    </row>
    <row r="39" spans="1:11" ht="25" customHeight="1">
      <c r="A39" s="146"/>
      <c r="B39" s="178"/>
      <c r="C39" s="157"/>
      <c r="D39" s="77"/>
      <c r="E39" s="77"/>
      <c r="F39" s="146"/>
      <c r="G39" s="153"/>
    </row>
    <row r="40" spans="1:11" ht="25" customHeight="1">
      <c r="A40" s="165"/>
      <c r="B40" s="166" t="s">
        <v>6</v>
      </c>
      <c r="C40" s="54"/>
      <c r="D40" s="165"/>
      <c r="E40" s="167">
        <f>SUM(E5:E39)</f>
        <v>76530</v>
      </c>
      <c r="F40" s="165"/>
      <c r="G40" s="154"/>
    </row>
    <row r="41" spans="1:11" ht="25" customHeight="1">
      <c r="A41" s="165"/>
      <c r="B41" s="168" t="s">
        <v>114</v>
      </c>
      <c r="C41" s="54"/>
      <c r="D41" s="165"/>
      <c r="E41" s="174">
        <f>+E40*7%</f>
        <v>5357.1</v>
      </c>
      <c r="F41" s="165"/>
      <c r="G41" s="154"/>
      <c r="K41" s="22"/>
    </row>
    <row r="42" spans="1:11" ht="25" customHeight="1">
      <c r="A42" s="165"/>
      <c r="B42" s="166" t="s">
        <v>35</v>
      </c>
      <c r="C42" s="165"/>
      <c r="D42" s="165"/>
      <c r="E42" s="170">
        <f>SUM(E40:E41)</f>
        <v>81887.100000000006</v>
      </c>
      <c r="F42" s="165"/>
      <c r="G42" s="154"/>
    </row>
    <row r="43" spans="1:11" ht="25" customHeight="1">
      <c r="A43" s="165"/>
      <c r="B43" s="171" t="s">
        <v>36</v>
      </c>
      <c r="C43" s="191" t="str">
        <f>BAHTTEXT(E42)</f>
        <v>แปดหมื่นหนึ่งพันแปดร้อยแปดสิบเจ็ดบาทสิบสตางค์</v>
      </c>
      <c r="D43" s="192"/>
      <c r="E43" s="192"/>
      <c r="F43" s="192"/>
      <c r="G43" s="193"/>
    </row>
  </sheetData>
  <mergeCells count="6">
    <mergeCell ref="C43:G43"/>
    <mergeCell ref="A2:A4"/>
    <mergeCell ref="B2:B4"/>
    <mergeCell ref="C2:C4"/>
    <mergeCell ref="D2:E2"/>
    <mergeCell ref="F2:F4"/>
  </mergeCells>
  <pageMargins left="0.7" right="0.7" top="0.75" bottom="0.75" header="0.3" footer="0.3"/>
  <pageSetup paperSize="9" scale="6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B3588-3B74-4A66-8DA1-DAD0D110452B}">
  <dimension ref="A2:K25"/>
  <sheetViews>
    <sheetView topLeftCell="A3" zoomScaleNormal="100" workbookViewId="0">
      <selection activeCell="B15" sqref="B15"/>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7" t="s">
        <v>623</v>
      </c>
      <c r="C5" s="76">
        <v>30</v>
      </c>
      <c r="D5" s="77">
        <v>40</v>
      </c>
      <c r="E5" s="77">
        <f>+C5*D5</f>
        <v>1200</v>
      </c>
      <c r="F5" s="146">
        <v>30</v>
      </c>
      <c r="G5" s="148" t="s">
        <v>51</v>
      </c>
      <c r="K5" s="31" t="s">
        <v>459</v>
      </c>
    </row>
    <row r="6" spans="1:11" ht="25" customHeight="1">
      <c r="A6" s="146">
        <v>2</v>
      </c>
      <c r="B6" s="149" t="s">
        <v>624</v>
      </c>
      <c r="C6" s="76">
        <v>20</v>
      </c>
      <c r="D6" s="150">
        <v>60</v>
      </c>
      <c r="E6" s="77">
        <f t="shared" ref="E6:E20" si="0">+C6*D6</f>
        <v>1200</v>
      </c>
      <c r="F6" s="146">
        <v>30</v>
      </c>
      <c r="G6" s="154" t="s">
        <v>238</v>
      </c>
    </row>
    <row r="7" spans="1:11" ht="24">
      <c r="A7" s="146">
        <v>3</v>
      </c>
      <c r="B7" s="152" t="s">
        <v>626</v>
      </c>
      <c r="C7" s="76">
        <v>30</v>
      </c>
      <c r="D7" s="153">
        <v>110</v>
      </c>
      <c r="E7" s="77">
        <f t="shared" si="0"/>
        <v>3300</v>
      </c>
      <c r="F7" s="146">
        <v>30</v>
      </c>
      <c r="G7" s="154" t="s">
        <v>29</v>
      </c>
    </row>
    <row r="8" spans="1:11" ht="25" customHeight="1">
      <c r="A8" s="146">
        <v>4</v>
      </c>
      <c r="B8" s="153" t="s">
        <v>625</v>
      </c>
      <c r="C8" s="155">
        <v>30</v>
      </c>
      <c r="D8" s="77">
        <v>22</v>
      </c>
      <c r="E8" s="77">
        <f t="shared" si="0"/>
        <v>660</v>
      </c>
      <c r="F8" s="146">
        <v>30</v>
      </c>
      <c r="G8" s="156" t="s">
        <v>509</v>
      </c>
    </row>
    <row r="9" spans="1:11" ht="25" customHeight="1">
      <c r="A9" s="146">
        <v>5</v>
      </c>
      <c r="B9" s="153" t="s">
        <v>627</v>
      </c>
      <c r="C9" s="157">
        <v>30</v>
      </c>
      <c r="D9" s="77">
        <v>22</v>
      </c>
      <c r="E9" s="77">
        <f t="shared" si="0"/>
        <v>660</v>
      </c>
      <c r="F9" s="146">
        <v>30</v>
      </c>
      <c r="G9" s="154"/>
    </row>
    <row r="10" spans="1:11" ht="25" customHeight="1">
      <c r="A10" s="146">
        <v>6</v>
      </c>
      <c r="B10" s="153" t="s">
        <v>628</v>
      </c>
      <c r="C10" s="157">
        <v>20</v>
      </c>
      <c r="D10" s="77">
        <v>22</v>
      </c>
      <c r="E10" s="77">
        <f t="shared" si="0"/>
        <v>440</v>
      </c>
      <c r="F10" s="146">
        <v>30</v>
      </c>
      <c r="G10" s="160" t="s">
        <v>463</v>
      </c>
    </row>
    <row r="11" spans="1:11" ht="25" customHeight="1">
      <c r="A11" s="146">
        <v>7</v>
      </c>
      <c r="B11" s="153" t="s">
        <v>629</v>
      </c>
      <c r="C11" s="157">
        <v>10</v>
      </c>
      <c r="D11" s="77">
        <v>12</v>
      </c>
      <c r="E11" s="77">
        <f t="shared" si="0"/>
        <v>120</v>
      </c>
      <c r="F11" s="146">
        <v>30</v>
      </c>
      <c r="G11" s="154" t="s">
        <v>31</v>
      </c>
    </row>
    <row r="12" spans="1:11" ht="25" customHeight="1">
      <c r="A12" s="146">
        <v>8</v>
      </c>
      <c r="B12" s="153" t="s">
        <v>630</v>
      </c>
      <c r="C12" s="157">
        <v>80</v>
      </c>
      <c r="D12" s="77">
        <v>250</v>
      </c>
      <c r="E12" s="77">
        <f t="shared" si="0"/>
        <v>20000</v>
      </c>
      <c r="F12" s="146">
        <v>30</v>
      </c>
      <c r="G12" s="154" t="s">
        <v>596</v>
      </c>
    </row>
    <row r="13" spans="1:11" ht="25" customHeight="1">
      <c r="A13" s="146">
        <v>9</v>
      </c>
      <c r="B13" s="153" t="s">
        <v>631</v>
      </c>
      <c r="C13" s="157">
        <v>80</v>
      </c>
      <c r="D13" s="77">
        <v>90</v>
      </c>
      <c r="E13" s="77">
        <f t="shared" si="0"/>
        <v>7200</v>
      </c>
      <c r="F13" s="146">
        <v>30</v>
      </c>
      <c r="G13" s="154" t="s">
        <v>459</v>
      </c>
    </row>
    <row r="14" spans="1:11" ht="25" customHeight="1">
      <c r="A14" s="146">
        <v>10</v>
      </c>
      <c r="B14" s="153" t="s">
        <v>632</v>
      </c>
      <c r="C14" s="157">
        <v>6</v>
      </c>
      <c r="D14" s="77">
        <v>90</v>
      </c>
      <c r="E14" s="77">
        <f t="shared" si="0"/>
        <v>540</v>
      </c>
      <c r="F14" s="146">
        <v>30</v>
      </c>
      <c r="G14" s="153"/>
    </row>
    <row r="15" spans="1:11" ht="25" customHeight="1">
      <c r="A15" s="146">
        <v>11</v>
      </c>
      <c r="B15" s="153" t="s">
        <v>633</v>
      </c>
      <c r="C15" s="157">
        <v>2</v>
      </c>
      <c r="D15" s="77">
        <v>190</v>
      </c>
      <c r="E15" s="77">
        <f t="shared" si="0"/>
        <v>380</v>
      </c>
      <c r="F15" s="146">
        <v>30</v>
      </c>
      <c r="G15" s="153"/>
    </row>
    <row r="16" spans="1:11" ht="25" customHeight="1">
      <c r="A16" s="146">
        <v>12</v>
      </c>
      <c r="B16" s="153" t="s">
        <v>635</v>
      </c>
      <c r="C16" s="157">
        <v>20</v>
      </c>
      <c r="D16" s="77">
        <v>190</v>
      </c>
      <c r="E16" s="77">
        <f t="shared" si="0"/>
        <v>3800</v>
      </c>
      <c r="F16" s="146">
        <v>30</v>
      </c>
      <c r="G16" s="153"/>
    </row>
    <row r="17" spans="1:11" ht="25" customHeight="1">
      <c r="A17" s="146">
        <v>13</v>
      </c>
      <c r="B17" s="153" t="s">
        <v>634</v>
      </c>
      <c r="C17" s="157">
        <v>20</v>
      </c>
      <c r="D17" s="77">
        <v>95</v>
      </c>
      <c r="E17" s="77">
        <f t="shared" si="0"/>
        <v>1900</v>
      </c>
      <c r="F17" s="146">
        <v>30</v>
      </c>
      <c r="G17" s="153"/>
    </row>
    <row r="18" spans="1:11" ht="25" customHeight="1">
      <c r="A18" s="146">
        <v>14</v>
      </c>
      <c r="B18" s="153" t="s">
        <v>636</v>
      </c>
      <c r="C18" s="157">
        <v>10</v>
      </c>
      <c r="D18" s="77">
        <v>1100</v>
      </c>
      <c r="E18" s="77">
        <f t="shared" si="0"/>
        <v>11000</v>
      </c>
      <c r="F18" s="146">
        <v>30</v>
      </c>
      <c r="G18" s="153"/>
    </row>
    <row r="19" spans="1:11" ht="25" customHeight="1">
      <c r="A19" s="146">
        <v>15</v>
      </c>
      <c r="B19" s="153" t="s">
        <v>637</v>
      </c>
      <c r="C19" s="157">
        <v>6</v>
      </c>
      <c r="D19" s="77">
        <v>3000</v>
      </c>
      <c r="E19" s="77">
        <f t="shared" si="0"/>
        <v>18000</v>
      </c>
      <c r="F19" s="146">
        <v>30</v>
      </c>
      <c r="G19" s="153"/>
    </row>
    <row r="20" spans="1:11" ht="25" customHeight="1">
      <c r="A20" s="146">
        <v>16</v>
      </c>
      <c r="B20" s="153" t="s">
        <v>638</v>
      </c>
      <c r="C20" s="157">
        <v>3</v>
      </c>
      <c r="D20" s="77">
        <v>7000</v>
      </c>
      <c r="E20" s="77">
        <f t="shared" si="0"/>
        <v>21000</v>
      </c>
      <c r="F20" s="146">
        <v>30</v>
      </c>
      <c r="G20" s="153"/>
    </row>
    <row r="21" spans="1:11" ht="25" customHeight="1">
      <c r="A21" s="146"/>
      <c r="B21" s="153"/>
      <c r="C21" s="157"/>
      <c r="D21" s="77"/>
      <c r="E21" s="77"/>
      <c r="F21" s="146"/>
      <c r="G21" s="153"/>
    </row>
    <row r="22" spans="1:11" ht="25" customHeight="1">
      <c r="A22" s="165"/>
      <c r="B22" s="166" t="s">
        <v>6</v>
      </c>
      <c r="C22" s="54"/>
      <c r="D22" s="165"/>
      <c r="E22" s="167">
        <f>SUM(E5:E21)</f>
        <v>91400</v>
      </c>
      <c r="F22" s="165"/>
      <c r="G22" s="154"/>
    </row>
    <row r="23" spans="1:11" ht="25" customHeight="1">
      <c r="A23" s="165"/>
      <c r="B23" s="168" t="s">
        <v>114</v>
      </c>
      <c r="C23" s="54"/>
      <c r="D23" s="165"/>
      <c r="E23" s="174">
        <f>+E22*7%</f>
        <v>6398.0000000000009</v>
      </c>
      <c r="F23" s="165"/>
      <c r="G23" s="154"/>
      <c r="K23" s="22"/>
    </row>
    <row r="24" spans="1:11" ht="25" customHeight="1">
      <c r="A24" s="165"/>
      <c r="B24" s="166" t="s">
        <v>35</v>
      </c>
      <c r="C24" s="165"/>
      <c r="D24" s="165"/>
      <c r="E24" s="170">
        <f>SUM(E22:E23)</f>
        <v>97798</v>
      </c>
      <c r="F24" s="165"/>
      <c r="G24" s="154"/>
    </row>
    <row r="25" spans="1:11" ht="25" customHeight="1">
      <c r="A25" s="165"/>
      <c r="B25" s="171" t="s">
        <v>36</v>
      </c>
      <c r="C25" s="191" t="str">
        <f>BAHTTEXT(E24)</f>
        <v>เก้าหมื่นเจ็ดพันเจ็ดร้อยเก้าสิบแปดบาทถ้วน</v>
      </c>
      <c r="D25" s="192"/>
      <c r="E25" s="192"/>
      <c r="F25" s="192"/>
      <c r="G25" s="193"/>
    </row>
  </sheetData>
  <mergeCells count="6">
    <mergeCell ref="C25:G25"/>
    <mergeCell ref="A2:A4"/>
    <mergeCell ref="B2:B4"/>
    <mergeCell ref="C2:C4"/>
    <mergeCell ref="D2:E2"/>
    <mergeCell ref="F2:F4"/>
  </mergeCells>
  <pageMargins left="0.7" right="0.7" top="0.75" bottom="0.75" header="0.3" footer="0.3"/>
  <pageSetup paperSize="9" scale="6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7029-91DA-4749-B7F2-71D6EFAC1552}">
  <sheetPr>
    <pageSetUpPr fitToPage="1"/>
  </sheetPr>
  <dimension ref="A2:J27"/>
  <sheetViews>
    <sheetView zoomScale="115" zoomScaleNormal="115" workbookViewId="0">
      <selection activeCell="B10" sqref="B10"/>
    </sheetView>
  </sheetViews>
  <sheetFormatPr defaultColWidth="9.08203125" defaultRowHeight="20.5"/>
  <cols>
    <col min="1" max="1" width="9.08203125" style="1"/>
    <col min="2" max="2" width="58.8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10">
      <c r="A2" s="198" t="s">
        <v>0</v>
      </c>
      <c r="B2" s="199" t="s">
        <v>1</v>
      </c>
      <c r="C2" s="198" t="s">
        <v>2</v>
      </c>
      <c r="D2" s="200" t="s">
        <v>3</v>
      </c>
      <c r="E2" s="201"/>
      <c r="F2" s="199" t="s">
        <v>7</v>
      </c>
      <c r="G2" s="194" t="s">
        <v>163</v>
      </c>
    </row>
    <row r="3" spans="1:10">
      <c r="A3" s="198"/>
      <c r="B3" s="199"/>
      <c r="C3" s="198"/>
      <c r="D3" s="49" t="s">
        <v>5</v>
      </c>
      <c r="E3" s="50" t="s">
        <v>6</v>
      </c>
      <c r="F3" s="199"/>
      <c r="G3" s="195"/>
    </row>
    <row r="4" spans="1:10">
      <c r="A4" s="198"/>
      <c r="B4" s="199"/>
      <c r="C4" s="198"/>
      <c r="D4" s="51" t="s">
        <v>4</v>
      </c>
      <c r="E4" s="51" t="s">
        <v>4</v>
      </c>
      <c r="F4" s="199"/>
      <c r="G4" s="196"/>
    </row>
    <row r="5" spans="1:10" ht="21" customHeight="1">
      <c r="A5" s="52">
        <v>1</v>
      </c>
      <c r="B5" s="72" t="s">
        <v>619</v>
      </c>
      <c r="C5" s="54">
        <v>1</v>
      </c>
      <c r="D5" s="55">
        <v>25000</v>
      </c>
      <c r="E5" s="56">
        <f>D5*C5</f>
        <v>25000</v>
      </c>
      <c r="F5" s="52">
        <v>30</v>
      </c>
      <c r="G5" s="57" t="s">
        <v>161</v>
      </c>
    </row>
    <row r="6" spans="1:10" ht="21" customHeight="1">
      <c r="A6" s="52"/>
      <c r="B6" s="72" t="s">
        <v>622</v>
      </c>
      <c r="C6" s="54"/>
      <c r="D6" s="55"/>
      <c r="E6" s="56"/>
      <c r="F6" s="52"/>
      <c r="G6" s="27" t="s">
        <v>259</v>
      </c>
    </row>
    <row r="7" spans="1:10" ht="21" customHeight="1">
      <c r="A7" s="52"/>
      <c r="B7" s="72" t="s">
        <v>620</v>
      </c>
      <c r="C7" s="54"/>
      <c r="D7" s="55"/>
      <c r="E7" s="56"/>
      <c r="F7" s="52"/>
      <c r="G7" s="27" t="s">
        <v>29</v>
      </c>
    </row>
    <row r="8" spans="1:10">
      <c r="A8" s="52"/>
      <c r="B8" s="53" t="s">
        <v>621</v>
      </c>
      <c r="C8" s="54"/>
      <c r="D8" s="55"/>
      <c r="E8" s="56"/>
      <c r="F8" s="52"/>
      <c r="G8" s="27" t="s">
        <v>509</v>
      </c>
      <c r="J8" s="27"/>
    </row>
    <row r="9" spans="1:10">
      <c r="A9" s="52"/>
      <c r="B9" s="72"/>
      <c r="C9" s="54"/>
      <c r="D9" s="55"/>
      <c r="E9" s="56"/>
      <c r="F9" s="52"/>
      <c r="G9" s="27"/>
    </row>
    <row r="10" spans="1:10">
      <c r="A10" s="52"/>
      <c r="B10" s="72"/>
      <c r="C10" s="54"/>
      <c r="D10" s="55"/>
      <c r="E10" s="56"/>
      <c r="F10" s="52"/>
      <c r="G10" s="60" t="s">
        <v>162</v>
      </c>
    </row>
    <row r="11" spans="1:10">
      <c r="A11" s="52"/>
      <c r="B11" s="72"/>
      <c r="C11" s="54"/>
      <c r="D11" s="55"/>
      <c r="E11" s="58"/>
      <c r="F11" s="52"/>
      <c r="G11" s="61" t="s">
        <v>31</v>
      </c>
    </row>
    <row r="12" spans="1:10">
      <c r="A12" s="52"/>
      <c r="B12" s="72"/>
      <c r="C12" s="54"/>
      <c r="D12" s="55"/>
      <c r="E12" s="58"/>
      <c r="F12" s="52"/>
      <c r="G12" s="61" t="s">
        <v>28</v>
      </c>
    </row>
    <row r="13" spans="1:10">
      <c r="A13" s="52"/>
      <c r="B13" s="53"/>
      <c r="C13" s="54"/>
      <c r="D13" s="55"/>
      <c r="E13" s="58"/>
      <c r="F13" s="52"/>
      <c r="G13" s="27" t="s">
        <v>285</v>
      </c>
    </row>
    <row r="14" spans="1:10">
      <c r="A14" s="52"/>
      <c r="B14" s="53"/>
      <c r="C14" s="54"/>
      <c r="D14" s="55"/>
      <c r="E14" s="58"/>
      <c r="F14" s="52"/>
      <c r="G14" s="27"/>
    </row>
    <row r="15" spans="1:10" ht="41">
      <c r="A15" s="52"/>
      <c r="B15" s="53"/>
      <c r="C15" s="54"/>
      <c r="D15" s="55"/>
      <c r="E15" s="58"/>
      <c r="F15" s="52"/>
      <c r="G15" s="69" t="s">
        <v>164</v>
      </c>
    </row>
    <row r="16" spans="1:10">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25000</v>
      </c>
      <c r="F23" s="62"/>
      <c r="G23" s="2"/>
    </row>
    <row r="24" spans="1:7" ht="24.5">
      <c r="A24" s="62"/>
      <c r="B24" s="63" t="s">
        <v>34</v>
      </c>
      <c r="C24" s="54"/>
      <c r="D24" s="62"/>
      <c r="E24" s="65">
        <f>E23*0%</f>
        <v>0</v>
      </c>
      <c r="F24" s="62"/>
      <c r="G24" s="2"/>
    </row>
    <row r="25" spans="1:7" ht="24.5">
      <c r="A25" s="62"/>
      <c r="B25" s="66" t="s">
        <v>35</v>
      </c>
      <c r="C25" s="62"/>
      <c r="D25" s="62"/>
      <c r="E25" s="67">
        <f>SUM(E23:E24)</f>
        <v>25000</v>
      </c>
      <c r="F25" s="62"/>
      <c r="G25" s="62"/>
    </row>
    <row r="26" spans="1:7" ht="24.5">
      <c r="A26" s="62"/>
      <c r="B26" s="66"/>
      <c r="C26" s="62"/>
      <c r="D26" s="62"/>
      <c r="E26" s="67"/>
      <c r="F26" s="62"/>
      <c r="G26" s="62"/>
    </row>
    <row r="27" spans="1:7" ht="33">
      <c r="A27" s="62"/>
      <c r="B27" s="68" t="s">
        <v>36</v>
      </c>
      <c r="C27" s="197" t="str">
        <f>BAHTTEXT(E25)</f>
        <v>สองหมื่นห้าพันบาทถ้วน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DAF8-37E0-4CB8-9EBD-11CB8CB865AA}">
  <dimension ref="A2:K22"/>
  <sheetViews>
    <sheetView topLeftCell="A8" zoomScale="85" zoomScaleNormal="85" workbookViewId="0">
      <selection activeCell="I13" sqref="I13"/>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7" t="s">
        <v>609</v>
      </c>
      <c r="C5" s="76">
        <v>6</v>
      </c>
      <c r="D5" s="77">
        <v>1490</v>
      </c>
      <c r="E5" s="77">
        <f>+C5*D5</f>
        <v>8940</v>
      </c>
      <c r="F5" s="146">
        <v>30</v>
      </c>
      <c r="G5" s="148" t="s">
        <v>51</v>
      </c>
      <c r="K5" s="31" t="s">
        <v>459</v>
      </c>
    </row>
    <row r="6" spans="1:11" ht="25" customHeight="1">
      <c r="A6" s="146">
        <v>2</v>
      </c>
      <c r="B6" s="149" t="s">
        <v>610</v>
      </c>
      <c r="C6" s="76">
        <v>10</v>
      </c>
      <c r="D6" s="150">
        <v>55</v>
      </c>
      <c r="E6" s="77">
        <f t="shared" ref="E6:E14" si="0">+C6*D6</f>
        <v>550</v>
      </c>
      <c r="F6" s="146">
        <v>30</v>
      </c>
      <c r="G6" s="154" t="s">
        <v>29</v>
      </c>
    </row>
    <row r="7" spans="1:11" ht="24">
      <c r="A7" s="146">
        <v>3</v>
      </c>
      <c r="B7" s="152" t="s">
        <v>611</v>
      </c>
      <c r="C7" s="76">
        <v>4</v>
      </c>
      <c r="D7" s="153">
        <v>40</v>
      </c>
      <c r="E7" s="77">
        <f t="shared" si="0"/>
        <v>160</v>
      </c>
      <c r="F7" s="146">
        <v>30</v>
      </c>
      <c r="G7" s="154" t="s">
        <v>238</v>
      </c>
    </row>
    <row r="8" spans="1:11" ht="25" customHeight="1">
      <c r="A8" s="146">
        <v>4</v>
      </c>
      <c r="B8" s="153" t="s">
        <v>612</v>
      </c>
      <c r="C8" s="155">
        <v>1</v>
      </c>
      <c r="D8" s="77">
        <v>1195</v>
      </c>
      <c r="E8" s="77">
        <f t="shared" si="0"/>
        <v>1195</v>
      </c>
      <c r="F8" s="146">
        <v>30</v>
      </c>
      <c r="G8" s="156" t="s">
        <v>509</v>
      </c>
    </row>
    <row r="9" spans="1:11" ht="25" customHeight="1">
      <c r="A9" s="146">
        <v>5</v>
      </c>
      <c r="B9" s="153" t="s">
        <v>613</v>
      </c>
      <c r="C9" s="157">
        <v>2</v>
      </c>
      <c r="D9" s="77">
        <v>838</v>
      </c>
      <c r="E9" s="77">
        <f t="shared" si="0"/>
        <v>1676</v>
      </c>
      <c r="F9" s="146">
        <v>30</v>
      </c>
      <c r="G9" s="158"/>
    </row>
    <row r="10" spans="1:11" ht="25" customHeight="1">
      <c r="A10" s="146">
        <v>6</v>
      </c>
      <c r="B10" s="153" t="s">
        <v>614</v>
      </c>
      <c r="C10" s="157">
        <v>7</v>
      </c>
      <c r="D10" s="77">
        <v>125</v>
      </c>
      <c r="E10" s="77">
        <f t="shared" si="0"/>
        <v>875</v>
      </c>
      <c r="F10" s="146">
        <v>30</v>
      </c>
      <c r="G10" s="159"/>
    </row>
    <row r="11" spans="1:11" ht="25" customHeight="1">
      <c r="A11" s="146">
        <v>7</v>
      </c>
      <c r="B11" s="153" t="s">
        <v>615</v>
      </c>
      <c r="C11" s="157">
        <v>3</v>
      </c>
      <c r="D11" s="77">
        <v>110</v>
      </c>
      <c r="E11" s="77">
        <f t="shared" si="0"/>
        <v>330</v>
      </c>
      <c r="F11" s="146">
        <v>30</v>
      </c>
      <c r="G11" s="153"/>
    </row>
    <row r="12" spans="1:11" ht="25" customHeight="1">
      <c r="A12" s="146">
        <v>8</v>
      </c>
      <c r="B12" s="153" t="s">
        <v>616</v>
      </c>
      <c r="C12" s="157">
        <v>5</v>
      </c>
      <c r="D12" s="77">
        <v>60</v>
      </c>
      <c r="E12" s="77">
        <f t="shared" si="0"/>
        <v>300</v>
      </c>
      <c r="F12" s="146">
        <v>30</v>
      </c>
      <c r="G12" s="153"/>
    </row>
    <row r="13" spans="1:11" ht="25" customHeight="1">
      <c r="A13" s="146">
        <v>9</v>
      </c>
      <c r="B13" s="153" t="s">
        <v>617</v>
      </c>
      <c r="C13" s="157">
        <v>5</v>
      </c>
      <c r="D13" s="77">
        <v>60</v>
      </c>
      <c r="E13" s="77">
        <f t="shared" si="0"/>
        <v>300</v>
      </c>
      <c r="F13" s="146">
        <v>30</v>
      </c>
      <c r="G13" s="153"/>
    </row>
    <row r="14" spans="1:11" ht="25" customHeight="1">
      <c r="A14" s="146">
        <v>10</v>
      </c>
      <c r="B14" s="153" t="s">
        <v>618</v>
      </c>
      <c r="C14" s="157">
        <v>1</v>
      </c>
      <c r="D14" s="77">
        <v>2950</v>
      </c>
      <c r="E14" s="77">
        <f t="shared" si="0"/>
        <v>2950</v>
      </c>
      <c r="F14" s="146">
        <v>30</v>
      </c>
      <c r="G14" s="160" t="s">
        <v>463</v>
      </c>
    </row>
    <row r="15" spans="1:11" ht="25" customHeight="1">
      <c r="A15" s="146"/>
      <c r="B15" s="161"/>
      <c r="C15" s="157"/>
      <c r="D15" s="77"/>
      <c r="E15" s="77"/>
      <c r="F15" s="146"/>
      <c r="G15" s="154" t="s">
        <v>31</v>
      </c>
    </row>
    <row r="16" spans="1:11" ht="25" customHeight="1">
      <c r="A16" s="146"/>
      <c r="B16" s="161"/>
      <c r="C16" s="157"/>
      <c r="D16" s="77"/>
      <c r="E16" s="77"/>
      <c r="F16" s="146"/>
      <c r="G16" s="154" t="s">
        <v>596</v>
      </c>
    </row>
    <row r="17" spans="1:11" ht="25" customHeight="1">
      <c r="A17" s="146"/>
      <c r="B17" s="161"/>
      <c r="C17" s="157"/>
      <c r="D17" s="77"/>
      <c r="E17" s="77"/>
      <c r="F17" s="146"/>
      <c r="G17" s="154" t="s">
        <v>459</v>
      </c>
    </row>
    <row r="18" spans="1:11" ht="25" customHeight="1">
      <c r="A18" s="146"/>
      <c r="B18" s="149"/>
      <c r="C18" s="54"/>
      <c r="D18" s="55"/>
      <c r="E18" s="164"/>
      <c r="F18" s="146"/>
      <c r="G18" s="154"/>
    </row>
    <row r="19" spans="1:11" ht="25" customHeight="1">
      <c r="A19" s="165"/>
      <c r="B19" s="166" t="s">
        <v>6</v>
      </c>
      <c r="C19" s="54"/>
      <c r="D19" s="165"/>
      <c r="E19" s="167">
        <v>16145.79</v>
      </c>
      <c r="F19" s="165"/>
      <c r="G19" s="154"/>
    </row>
    <row r="20" spans="1:11" ht="25" customHeight="1">
      <c r="A20" s="165"/>
      <c r="B20" s="168" t="s">
        <v>114</v>
      </c>
      <c r="C20" s="54"/>
      <c r="D20" s="165"/>
      <c r="E20" s="174">
        <v>1130.21</v>
      </c>
      <c r="F20" s="165"/>
      <c r="G20" s="154"/>
      <c r="K20" s="22"/>
    </row>
    <row r="21" spans="1:11" ht="25" customHeight="1">
      <c r="A21" s="165"/>
      <c r="B21" s="166" t="s">
        <v>35</v>
      </c>
      <c r="C21" s="165"/>
      <c r="D21" s="165"/>
      <c r="E21" s="170">
        <f>SUM(E19:E20)</f>
        <v>17276</v>
      </c>
      <c r="F21" s="165"/>
      <c r="G21" s="154"/>
    </row>
    <row r="22" spans="1:11" ht="25" customHeight="1">
      <c r="A22" s="165"/>
      <c r="B22" s="171" t="s">
        <v>36</v>
      </c>
      <c r="C22" s="191" t="str">
        <f>BAHTTEXT(E21)</f>
        <v>หนึ่งหมื่นเจ็ดพันสองร้อยเจ็ดสิบหกบาทถ้วน</v>
      </c>
      <c r="D22" s="192"/>
      <c r="E22" s="192"/>
      <c r="F22" s="192"/>
      <c r="G22" s="193"/>
    </row>
  </sheetData>
  <mergeCells count="6">
    <mergeCell ref="C22:G22"/>
    <mergeCell ref="A2:A4"/>
    <mergeCell ref="B2:B4"/>
    <mergeCell ref="C2:C4"/>
    <mergeCell ref="D2:E2"/>
    <mergeCell ref="F2:F4"/>
  </mergeCells>
  <pageMargins left="0.7" right="0.7" top="0.75" bottom="0.75" header="0.3" footer="0.3"/>
  <pageSetup paperSize="9" scale="6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5CE4-1419-4715-9F01-7E4846E216BA}">
  <dimension ref="A2:K24"/>
  <sheetViews>
    <sheetView zoomScale="85" zoomScaleNormal="85" workbookViewId="0">
      <selection activeCell="A2" sqref="A2:G24"/>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7" t="s">
        <v>52</v>
      </c>
      <c r="C5" s="76">
        <v>2</v>
      </c>
      <c r="D5" s="77">
        <v>280</v>
      </c>
      <c r="E5" s="77">
        <f t="shared" ref="E5:E13" si="0">+C5*D5</f>
        <v>560</v>
      </c>
      <c r="F5" s="146">
        <v>30</v>
      </c>
      <c r="G5" s="148" t="s">
        <v>51</v>
      </c>
      <c r="K5" s="31" t="s">
        <v>459</v>
      </c>
    </row>
    <row r="6" spans="1:11" ht="25" customHeight="1">
      <c r="A6" s="146">
        <v>2</v>
      </c>
      <c r="B6" s="149" t="s">
        <v>602</v>
      </c>
      <c r="C6" s="76">
        <v>6</v>
      </c>
      <c r="D6" s="150">
        <v>350</v>
      </c>
      <c r="E6" s="77">
        <f t="shared" si="0"/>
        <v>2100</v>
      </c>
      <c r="F6" s="146">
        <v>30</v>
      </c>
      <c r="G6" s="151" t="s">
        <v>259</v>
      </c>
    </row>
    <row r="7" spans="1:11" ht="24">
      <c r="A7" s="146">
        <v>3</v>
      </c>
      <c r="B7" s="152" t="s">
        <v>317</v>
      </c>
      <c r="C7" s="76">
        <v>20</v>
      </c>
      <c r="D7" s="153">
        <v>125</v>
      </c>
      <c r="E7" s="77">
        <f t="shared" si="0"/>
        <v>2500</v>
      </c>
      <c r="F7" s="146">
        <v>30</v>
      </c>
      <c r="G7" s="151" t="s">
        <v>29</v>
      </c>
    </row>
    <row r="8" spans="1:11" ht="25" customHeight="1">
      <c r="A8" s="146">
        <v>4</v>
      </c>
      <c r="B8" s="153" t="s">
        <v>603</v>
      </c>
      <c r="C8" s="155">
        <v>10</v>
      </c>
      <c r="D8" s="77">
        <v>195</v>
      </c>
      <c r="E8" s="77">
        <f t="shared" si="0"/>
        <v>1950</v>
      </c>
      <c r="F8" s="146">
        <v>30</v>
      </c>
      <c r="G8" s="156" t="s">
        <v>509</v>
      </c>
    </row>
    <row r="9" spans="1:11" ht="25" customHeight="1">
      <c r="A9" s="146">
        <v>5</v>
      </c>
      <c r="B9" s="153" t="s">
        <v>604</v>
      </c>
      <c r="C9" s="157">
        <v>24</v>
      </c>
      <c r="D9" s="77">
        <v>60</v>
      </c>
      <c r="E9" s="77">
        <f t="shared" si="0"/>
        <v>1440</v>
      </c>
      <c r="F9" s="146">
        <v>30</v>
      </c>
      <c r="G9" s="158"/>
    </row>
    <row r="10" spans="1:11" ht="25" customHeight="1">
      <c r="A10" s="146">
        <v>6</v>
      </c>
      <c r="B10" s="153" t="s">
        <v>605</v>
      </c>
      <c r="C10" s="157">
        <v>4</v>
      </c>
      <c r="D10" s="77">
        <v>495</v>
      </c>
      <c r="E10" s="77">
        <f t="shared" si="0"/>
        <v>1980</v>
      </c>
      <c r="F10" s="146">
        <v>30</v>
      </c>
      <c r="G10" s="160" t="s">
        <v>463</v>
      </c>
    </row>
    <row r="11" spans="1:11" ht="25" customHeight="1">
      <c r="A11" s="146">
        <v>7</v>
      </c>
      <c r="B11" s="153" t="s">
        <v>606</v>
      </c>
      <c r="C11" s="157">
        <v>10</v>
      </c>
      <c r="D11" s="77">
        <v>350</v>
      </c>
      <c r="E11" s="77">
        <f t="shared" si="0"/>
        <v>3500</v>
      </c>
      <c r="F11" s="146">
        <v>30</v>
      </c>
      <c r="G11" s="154" t="s">
        <v>31</v>
      </c>
    </row>
    <row r="12" spans="1:11" ht="25" customHeight="1">
      <c r="A12" s="146">
        <v>8</v>
      </c>
      <c r="B12" s="153" t="s">
        <v>607</v>
      </c>
      <c r="C12" s="157">
        <v>6</v>
      </c>
      <c r="D12" s="77">
        <v>290</v>
      </c>
      <c r="E12" s="77">
        <f t="shared" si="0"/>
        <v>1740</v>
      </c>
      <c r="F12" s="146">
        <v>30</v>
      </c>
      <c r="G12" s="154" t="s">
        <v>28</v>
      </c>
    </row>
    <row r="13" spans="1:11" ht="25" customHeight="1">
      <c r="A13" s="146">
        <v>9</v>
      </c>
      <c r="B13" s="153" t="s">
        <v>608</v>
      </c>
      <c r="C13" s="157">
        <v>1</v>
      </c>
      <c r="D13" s="77">
        <v>190</v>
      </c>
      <c r="E13" s="77">
        <f t="shared" si="0"/>
        <v>190</v>
      </c>
      <c r="F13" s="146">
        <v>30</v>
      </c>
      <c r="G13" s="154" t="s">
        <v>285</v>
      </c>
    </row>
    <row r="14" spans="1:11" ht="25" customHeight="1">
      <c r="A14" s="146">
        <v>10</v>
      </c>
      <c r="B14" s="153"/>
      <c r="C14" s="157"/>
      <c r="D14" s="77"/>
      <c r="E14" s="77"/>
      <c r="F14" s="146"/>
      <c r="G14" s="154"/>
    </row>
    <row r="15" spans="1:11" ht="25" customHeight="1">
      <c r="A15" s="146"/>
      <c r="B15" s="153"/>
      <c r="C15" s="157"/>
      <c r="D15" s="77"/>
      <c r="E15" s="77"/>
      <c r="F15" s="146"/>
      <c r="G15" s="2"/>
    </row>
    <row r="16" spans="1:11" ht="25" customHeight="1">
      <c r="A16" s="146"/>
      <c r="B16" s="161"/>
      <c r="C16" s="157"/>
      <c r="D16" s="77"/>
      <c r="E16" s="77"/>
      <c r="F16" s="146"/>
      <c r="G16" s="2"/>
    </row>
    <row r="17" spans="1:11" ht="25" customHeight="1">
      <c r="A17" s="146"/>
      <c r="B17" s="161"/>
      <c r="C17" s="157"/>
      <c r="D17" s="77"/>
      <c r="E17" s="77"/>
      <c r="F17" s="146"/>
      <c r="G17" s="2"/>
    </row>
    <row r="18" spans="1:11" ht="25" customHeight="1">
      <c r="A18" s="146"/>
      <c r="B18" s="153"/>
      <c r="C18" s="157"/>
      <c r="D18" s="77"/>
      <c r="E18" s="77"/>
      <c r="F18" s="146"/>
      <c r="G18" s="158"/>
    </row>
    <row r="19" spans="1:11" ht="25" customHeight="1">
      <c r="A19" s="146"/>
      <c r="B19" s="161"/>
      <c r="C19" s="157"/>
      <c r="D19" s="77"/>
      <c r="E19" s="77"/>
      <c r="F19" s="146"/>
      <c r="G19" s="158"/>
    </row>
    <row r="20" spans="1:11" ht="25" customHeight="1">
      <c r="A20" s="146"/>
      <c r="B20" s="153"/>
      <c r="C20" s="157"/>
      <c r="D20" s="55"/>
      <c r="E20" s="162"/>
      <c r="F20" s="146"/>
      <c r="G20" s="154"/>
    </row>
    <row r="21" spans="1:11" ht="25" customHeight="1">
      <c r="A21" s="165"/>
      <c r="B21" s="166" t="s">
        <v>35</v>
      </c>
      <c r="C21" s="165"/>
      <c r="D21" s="165"/>
      <c r="E21" s="175">
        <f>SUM(E5:E20)</f>
        <v>15960</v>
      </c>
      <c r="F21" s="165"/>
      <c r="G21" s="154"/>
    </row>
    <row r="22" spans="1:11" ht="25" customHeight="1">
      <c r="A22" s="165"/>
      <c r="B22" s="168" t="s">
        <v>114</v>
      </c>
      <c r="C22" s="54"/>
      <c r="D22" s="165"/>
      <c r="E22" s="169">
        <f>+E21*0.07</f>
        <v>1117.2</v>
      </c>
      <c r="F22" s="165"/>
      <c r="G22" s="154"/>
      <c r="K22" s="22"/>
    </row>
    <row r="23" spans="1:11" ht="25" customHeight="1">
      <c r="A23" s="165"/>
      <c r="B23" s="166" t="s">
        <v>6</v>
      </c>
      <c r="C23" s="54"/>
      <c r="D23" s="165"/>
      <c r="E23" s="176">
        <f>+E21+E22</f>
        <v>17077.2</v>
      </c>
      <c r="F23" s="165"/>
      <c r="G23" s="154"/>
    </row>
    <row r="24" spans="1:11" ht="25" customHeight="1">
      <c r="A24" s="165"/>
      <c r="B24" s="171" t="s">
        <v>36</v>
      </c>
      <c r="C24" s="191" t="str">
        <f>BAHTTEXT(E23)</f>
        <v>หนึ่งหมื่นเจ็ดพันเจ็ดสิบเจ็ดบาทยี่สิบสตางค์</v>
      </c>
      <c r="D24" s="192"/>
      <c r="E24" s="192"/>
      <c r="F24" s="192"/>
      <c r="G24" s="193"/>
    </row>
  </sheetData>
  <mergeCells count="6">
    <mergeCell ref="C24:G24"/>
    <mergeCell ref="A2:A4"/>
    <mergeCell ref="B2:B4"/>
    <mergeCell ref="C2:C4"/>
    <mergeCell ref="D2:E2"/>
    <mergeCell ref="F2:F4"/>
  </mergeCells>
  <pageMargins left="0.7" right="0.7" top="0.75" bottom="0.75" header="0.3" footer="0.3"/>
  <pageSetup paperSize="9" scale="6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3750-9536-4AB9-8B47-7E699EF64C27}">
  <sheetPr>
    <pageSetUpPr fitToPage="1"/>
  </sheetPr>
  <dimension ref="A2:J27"/>
  <sheetViews>
    <sheetView zoomScale="115" zoomScaleNormal="115" workbookViewId="0">
      <selection activeCell="D11" sqref="D11"/>
    </sheetView>
  </sheetViews>
  <sheetFormatPr defaultColWidth="9.08203125" defaultRowHeight="20.5"/>
  <cols>
    <col min="1" max="1" width="9.08203125" style="1"/>
    <col min="2" max="2" width="58.8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10">
      <c r="A2" s="198" t="s">
        <v>0</v>
      </c>
      <c r="B2" s="199" t="s">
        <v>1</v>
      </c>
      <c r="C2" s="198" t="s">
        <v>2</v>
      </c>
      <c r="D2" s="200" t="s">
        <v>3</v>
      </c>
      <c r="E2" s="201"/>
      <c r="F2" s="199" t="s">
        <v>7</v>
      </c>
      <c r="G2" s="194" t="s">
        <v>163</v>
      </c>
    </row>
    <row r="3" spans="1:10">
      <c r="A3" s="198"/>
      <c r="B3" s="199"/>
      <c r="C3" s="198"/>
      <c r="D3" s="49" t="s">
        <v>5</v>
      </c>
      <c r="E3" s="50" t="s">
        <v>6</v>
      </c>
      <c r="F3" s="199"/>
      <c r="G3" s="195"/>
    </row>
    <row r="4" spans="1:10">
      <c r="A4" s="198"/>
      <c r="B4" s="199"/>
      <c r="C4" s="198"/>
      <c r="D4" s="51" t="s">
        <v>4</v>
      </c>
      <c r="E4" s="51" t="s">
        <v>4</v>
      </c>
      <c r="F4" s="199"/>
      <c r="G4" s="196"/>
    </row>
    <row r="5" spans="1:10" ht="21" customHeight="1">
      <c r="A5" s="52">
        <v>1</v>
      </c>
      <c r="B5" s="72" t="s">
        <v>597</v>
      </c>
      <c r="C5" s="54">
        <v>3</v>
      </c>
      <c r="D5" s="55">
        <v>3000</v>
      </c>
      <c r="E5" s="56">
        <f>D5*C5</f>
        <v>9000</v>
      </c>
      <c r="F5" s="52">
        <v>30</v>
      </c>
      <c r="G5" s="57" t="s">
        <v>161</v>
      </c>
    </row>
    <row r="6" spans="1:10" ht="21" customHeight="1">
      <c r="A6" s="52"/>
      <c r="B6" s="72" t="s">
        <v>600</v>
      </c>
      <c r="C6" s="54"/>
      <c r="D6" s="55"/>
      <c r="E6" s="56"/>
      <c r="F6" s="52"/>
      <c r="G6" s="27" t="s">
        <v>285</v>
      </c>
    </row>
    <row r="7" spans="1:10" ht="21" customHeight="1">
      <c r="A7" s="52"/>
      <c r="B7" s="72" t="s">
        <v>601</v>
      </c>
      <c r="C7" s="54"/>
      <c r="D7" s="55"/>
      <c r="E7" s="56"/>
      <c r="F7" s="52"/>
      <c r="G7" s="27" t="s">
        <v>29</v>
      </c>
    </row>
    <row r="8" spans="1:10">
      <c r="A8" s="52"/>
      <c r="B8" s="53"/>
      <c r="C8" s="54"/>
      <c r="D8" s="55"/>
      <c r="E8" s="56"/>
      <c r="F8" s="52"/>
      <c r="G8" s="27" t="s">
        <v>509</v>
      </c>
      <c r="J8" s="27"/>
    </row>
    <row r="9" spans="1:10">
      <c r="A9" s="52"/>
      <c r="B9" s="72"/>
      <c r="C9" s="54"/>
      <c r="D9" s="55"/>
      <c r="E9" s="56"/>
      <c r="F9" s="52"/>
      <c r="G9" s="27"/>
    </row>
    <row r="10" spans="1:10">
      <c r="A10" s="52"/>
      <c r="B10" s="72"/>
      <c r="C10" s="54"/>
      <c r="D10" s="55"/>
      <c r="E10" s="56"/>
      <c r="F10" s="52"/>
      <c r="G10" s="60" t="s">
        <v>162</v>
      </c>
    </row>
    <row r="11" spans="1:10">
      <c r="A11" s="52"/>
      <c r="B11" s="72"/>
      <c r="C11" s="54"/>
      <c r="D11" s="55"/>
      <c r="E11" s="58"/>
      <c r="F11" s="52"/>
      <c r="G11" s="61" t="s">
        <v>28</v>
      </c>
    </row>
    <row r="12" spans="1:10">
      <c r="A12" s="52"/>
      <c r="B12" s="72"/>
      <c r="C12" s="54"/>
      <c r="D12" s="55"/>
      <c r="E12" s="58"/>
      <c r="F12" s="52"/>
      <c r="G12" s="27" t="s">
        <v>259</v>
      </c>
    </row>
    <row r="13" spans="1:10">
      <c r="A13" s="52"/>
      <c r="B13" s="53"/>
      <c r="C13" s="54"/>
      <c r="D13" s="55"/>
      <c r="E13" s="58"/>
      <c r="F13" s="52"/>
      <c r="G13" s="27" t="s">
        <v>238</v>
      </c>
    </row>
    <row r="14" spans="1:10">
      <c r="A14" s="52"/>
      <c r="B14" s="53"/>
      <c r="C14" s="54"/>
      <c r="D14" s="55"/>
      <c r="E14" s="58"/>
      <c r="F14" s="52"/>
      <c r="G14" s="27"/>
    </row>
    <row r="15" spans="1:10" ht="41">
      <c r="A15" s="52"/>
      <c r="B15" s="53"/>
      <c r="C15" s="54"/>
      <c r="D15" s="55"/>
      <c r="E15" s="58"/>
      <c r="F15" s="52"/>
      <c r="G15" s="69" t="s">
        <v>164</v>
      </c>
    </row>
    <row r="16" spans="1:10">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9000</v>
      </c>
      <c r="F23" s="62"/>
      <c r="G23" s="2"/>
    </row>
    <row r="24" spans="1:7" ht="24.5">
      <c r="A24" s="62"/>
      <c r="B24" s="63" t="s">
        <v>34</v>
      </c>
      <c r="C24" s="54"/>
      <c r="D24" s="62"/>
      <c r="E24" s="65">
        <f>E23*0%</f>
        <v>0</v>
      </c>
      <c r="F24" s="62"/>
      <c r="G24" s="2"/>
    </row>
    <row r="25" spans="1:7" ht="24.5">
      <c r="A25" s="62"/>
      <c r="B25" s="66" t="s">
        <v>35</v>
      </c>
      <c r="C25" s="62"/>
      <c r="D25" s="62"/>
      <c r="E25" s="67">
        <f>SUM(E23:E24)</f>
        <v>9000</v>
      </c>
      <c r="F25" s="62"/>
      <c r="G25" s="62"/>
    </row>
    <row r="26" spans="1:7" ht="24.5">
      <c r="A26" s="62"/>
      <c r="B26" s="66"/>
      <c r="C26" s="62"/>
      <c r="D26" s="62"/>
      <c r="E26" s="67"/>
      <c r="F26" s="62"/>
      <c r="G26" s="62"/>
    </row>
    <row r="27" spans="1:7" ht="33">
      <c r="A27" s="62"/>
      <c r="B27" s="68" t="s">
        <v>36</v>
      </c>
      <c r="C27" s="197" t="str">
        <f>BAHTTEXT(E25)</f>
        <v>เก้าพันบาทถ้วน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D091-3E60-4534-B59A-047966A17924}">
  <sheetPr>
    <pageSetUpPr fitToPage="1"/>
  </sheetPr>
  <dimension ref="A2:J27"/>
  <sheetViews>
    <sheetView zoomScale="115" zoomScaleNormal="115" workbookViewId="0">
      <selection activeCell="A2" sqref="A2:G27"/>
    </sheetView>
  </sheetViews>
  <sheetFormatPr defaultColWidth="9.08203125" defaultRowHeight="20.5"/>
  <cols>
    <col min="1" max="1" width="9.08203125" style="1"/>
    <col min="2" max="2" width="58.8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10">
      <c r="A2" s="198" t="s">
        <v>0</v>
      </c>
      <c r="B2" s="199" t="s">
        <v>1</v>
      </c>
      <c r="C2" s="198" t="s">
        <v>2</v>
      </c>
      <c r="D2" s="200" t="s">
        <v>3</v>
      </c>
      <c r="E2" s="201"/>
      <c r="F2" s="199" t="s">
        <v>7</v>
      </c>
      <c r="G2" s="194" t="s">
        <v>163</v>
      </c>
    </row>
    <row r="3" spans="1:10">
      <c r="A3" s="198"/>
      <c r="B3" s="199"/>
      <c r="C3" s="198"/>
      <c r="D3" s="49" t="s">
        <v>5</v>
      </c>
      <c r="E3" s="50" t="s">
        <v>6</v>
      </c>
      <c r="F3" s="199"/>
      <c r="G3" s="195"/>
    </row>
    <row r="4" spans="1:10">
      <c r="A4" s="198"/>
      <c r="B4" s="199"/>
      <c r="C4" s="198"/>
      <c r="D4" s="51" t="s">
        <v>4</v>
      </c>
      <c r="E4" s="51" t="s">
        <v>4</v>
      </c>
      <c r="F4" s="199"/>
      <c r="G4" s="196"/>
    </row>
    <row r="5" spans="1:10" ht="21" customHeight="1">
      <c r="A5" s="52">
        <v>1</v>
      </c>
      <c r="B5" s="72" t="s">
        <v>597</v>
      </c>
      <c r="C5" s="54">
        <v>3</v>
      </c>
      <c r="D5" s="55">
        <v>3000</v>
      </c>
      <c r="E5" s="56">
        <f>D5*C5</f>
        <v>9000</v>
      </c>
      <c r="F5" s="52">
        <v>30</v>
      </c>
      <c r="G5" s="57" t="s">
        <v>161</v>
      </c>
    </row>
    <row r="6" spans="1:10" ht="21" customHeight="1">
      <c r="A6" s="52"/>
      <c r="B6" s="72" t="s">
        <v>598</v>
      </c>
      <c r="C6" s="54"/>
      <c r="D6" s="55"/>
      <c r="E6" s="56"/>
      <c r="F6" s="52"/>
      <c r="G6" s="27" t="s">
        <v>285</v>
      </c>
    </row>
    <row r="7" spans="1:10" ht="21" customHeight="1">
      <c r="A7" s="52"/>
      <c r="B7" s="72" t="s">
        <v>599</v>
      </c>
      <c r="C7" s="54"/>
      <c r="D7" s="55"/>
      <c r="E7" s="56"/>
      <c r="F7" s="52"/>
      <c r="G7" s="27" t="s">
        <v>29</v>
      </c>
    </row>
    <row r="8" spans="1:10">
      <c r="A8" s="52"/>
      <c r="B8" s="53"/>
      <c r="C8" s="54"/>
      <c r="D8" s="55"/>
      <c r="E8" s="56"/>
      <c r="F8" s="52"/>
      <c r="G8" s="27" t="s">
        <v>509</v>
      </c>
      <c r="J8" s="27"/>
    </row>
    <row r="9" spans="1:10">
      <c r="A9" s="52"/>
      <c r="B9" s="72"/>
      <c r="C9" s="54"/>
      <c r="D9" s="55"/>
      <c r="E9" s="56"/>
      <c r="F9" s="52"/>
      <c r="G9" s="27"/>
    </row>
    <row r="10" spans="1:10">
      <c r="A10" s="52"/>
      <c r="B10" s="72"/>
      <c r="C10" s="54"/>
      <c r="D10" s="55"/>
      <c r="E10" s="56"/>
      <c r="F10" s="52"/>
      <c r="G10" s="60" t="s">
        <v>162</v>
      </c>
    </row>
    <row r="11" spans="1:10">
      <c r="A11" s="52"/>
      <c r="B11" s="72"/>
      <c r="C11" s="54"/>
      <c r="D11" s="55"/>
      <c r="E11" s="58"/>
      <c r="F11" s="52"/>
      <c r="G11" s="61" t="s">
        <v>28</v>
      </c>
    </row>
    <row r="12" spans="1:10">
      <c r="A12" s="52"/>
      <c r="B12" s="72"/>
      <c r="C12" s="54"/>
      <c r="D12" s="55"/>
      <c r="E12" s="58"/>
      <c r="F12" s="52"/>
      <c r="G12" s="27" t="s">
        <v>259</v>
      </c>
    </row>
    <row r="13" spans="1:10">
      <c r="A13" s="52"/>
      <c r="B13" s="53"/>
      <c r="C13" s="54"/>
      <c r="D13" s="55"/>
      <c r="E13" s="58"/>
      <c r="F13" s="52"/>
      <c r="G13" s="27" t="s">
        <v>238</v>
      </c>
    </row>
    <row r="14" spans="1:10">
      <c r="A14" s="52"/>
      <c r="B14" s="53"/>
      <c r="C14" s="54"/>
      <c r="D14" s="55"/>
      <c r="E14" s="58"/>
      <c r="F14" s="52"/>
      <c r="G14" s="27"/>
    </row>
    <row r="15" spans="1:10" ht="41">
      <c r="A15" s="52"/>
      <c r="B15" s="53"/>
      <c r="C15" s="54"/>
      <c r="D15" s="55"/>
      <c r="E15" s="58"/>
      <c r="F15" s="52"/>
      <c r="G15" s="69" t="s">
        <v>164</v>
      </c>
    </row>
    <row r="16" spans="1:10">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9000</v>
      </c>
      <c r="F23" s="62"/>
      <c r="G23" s="2"/>
    </row>
    <row r="24" spans="1:7" ht="24.5">
      <c r="A24" s="62"/>
      <c r="B24" s="63" t="s">
        <v>34</v>
      </c>
      <c r="C24" s="54"/>
      <c r="D24" s="62"/>
      <c r="E24" s="65">
        <f>E23*0%</f>
        <v>0</v>
      </c>
      <c r="F24" s="62"/>
      <c r="G24" s="2"/>
    </row>
    <row r="25" spans="1:7" ht="24.5">
      <c r="A25" s="62"/>
      <c r="B25" s="66" t="s">
        <v>35</v>
      </c>
      <c r="C25" s="62"/>
      <c r="D25" s="62"/>
      <c r="E25" s="67">
        <f>SUM(E23:E24)</f>
        <v>9000</v>
      </c>
      <c r="F25" s="62"/>
      <c r="G25" s="62"/>
    </row>
    <row r="26" spans="1:7" ht="24.5">
      <c r="A26" s="62"/>
      <c r="B26" s="66"/>
      <c r="C26" s="62"/>
      <c r="D26" s="62"/>
      <c r="E26" s="67"/>
      <c r="F26" s="62"/>
      <c r="G26" s="62"/>
    </row>
    <row r="27" spans="1:7" ht="33">
      <c r="A27" s="62"/>
      <c r="B27" s="68" t="s">
        <v>36</v>
      </c>
      <c r="C27" s="197" t="str">
        <f>BAHTTEXT(E25)</f>
        <v>เก้าพันบาทถ้วน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81FD-980A-4D4B-A847-0996B4E36EEF}">
  <sheetPr>
    <pageSetUpPr fitToPage="1"/>
  </sheetPr>
  <dimension ref="A2:G27"/>
  <sheetViews>
    <sheetView zoomScale="115" zoomScaleNormal="115" workbookViewId="0">
      <selection activeCell="A2" sqref="A2:G27"/>
    </sheetView>
  </sheetViews>
  <sheetFormatPr defaultColWidth="9.08203125" defaultRowHeight="20.5"/>
  <cols>
    <col min="1" max="1" width="9.08203125" style="1"/>
    <col min="2" max="2" width="58.8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ht="21" customHeight="1">
      <c r="A5" s="52">
        <v>1</v>
      </c>
      <c r="B5" s="72" t="s">
        <v>591</v>
      </c>
      <c r="C5" s="54">
        <v>1</v>
      </c>
      <c r="D5" s="55">
        <v>35000</v>
      </c>
      <c r="E5" s="56">
        <f>D5*C5</f>
        <v>35000</v>
      </c>
      <c r="F5" s="52">
        <v>30</v>
      </c>
      <c r="G5" s="57" t="s">
        <v>161</v>
      </c>
    </row>
    <row r="6" spans="1:7" ht="21" customHeight="1">
      <c r="A6" s="52"/>
      <c r="B6" s="72" t="s">
        <v>592</v>
      </c>
      <c r="C6" s="54"/>
      <c r="D6" s="55"/>
      <c r="E6" s="56"/>
      <c r="F6" s="52"/>
      <c r="G6" s="27" t="s">
        <v>32</v>
      </c>
    </row>
    <row r="7" spans="1:7" ht="21" customHeight="1">
      <c r="A7" s="52"/>
      <c r="B7" s="72" t="s">
        <v>593</v>
      </c>
      <c r="C7" s="54"/>
      <c r="D7" s="55"/>
      <c r="E7" s="56"/>
      <c r="F7" s="52"/>
      <c r="G7" s="27" t="s">
        <v>596</v>
      </c>
    </row>
    <row r="8" spans="1:7">
      <c r="A8" s="52"/>
      <c r="B8" s="53"/>
      <c r="C8" s="54"/>
      <c r="D8" s="55"/>
      <c r="E8" s="56"/>
      <c r="F8" s="52"/>
      <c r="G8" s="27" t="s">
        <v>29</v>
      </c>
    </row>
    <row r="9" spans="1:7">
      <c r="A9" s="52"/>
      <c r="B9" s="72"/>
      <c r="C9" s="54"/>
      <c r="D9" s="55"/>
      <c r="E9" s="56"/>
      <c r="F9" s="52"/>
      <c r="G9" s="59"/>
    </row>
    <row r="10" spans="1:7">
      <c r="A10" s="52">
        <v>2</v>
      </c>
      <c r="B10" s="72" t="s">
        <v>594</v>
      </c>
      <c r="C10" s="54">
        <v>1</v>
      </c>
      <c r="D10" s="55">
        <v>10000</v>
      </c>
      <c r="E10" s="56">
        <f t="shared" ref="E10" si="0">D10*C10</f>
        <v>10000</v>
      </c>
      <c r="F10" s="52">
        <v>30</v>
      </c>
      <c r="G10" s="60" t="s">
        <v>162</v>
      </c>
    </row>
    <row r="11" spans="1:7">
      <c r="A11" s="52"/>
      <c r="B11" s="72" t="s">
        <v>595</v>
      </c>
      <c r="C11" s="54"/>
      <c r="D11" s="55"/>
      <c r="E11" s="58"/>
      <c r="F11" s="52"/>
      <c r="G11" s="61" t="s">
        <v>31</v>
      </c>
    </row>
    <row r="12" spans="1:7">
      <c r="A12" s="52"/>
      <c r="B12" s="72" t="s">
        <v>593</v>
      </c>
      <c r="C12" s="54"/>
      <c r="D12" s="55"/>
      <c r="E12" s="58"/>
      <c r="F12" s="52"/>
      <c r="G12" s="27" t="s">
        <v>459</v>
      </c>
    </row>
    <row r="13" spans="1:7">
      <c r="A13" s="52"/>
      <c r="B13" s="53"/>
      <c r="C13" s="54"/>
      <c r="D13" s="55"/>
      <c r="E13" s="58"/>
      <c r="F13" s="52"/>
      <c r="G13" s="27" t="s">
        <v>238</v>
      </c>
    </row>
    <row r="14" spans="1:7">
      <c r="A14" s="52"/>
      <c r="B14" s="53"/>
      <c r="C14" s="54"/>
      <c r="D14" s="55"/>
      <c r="E14" s="58"/>
      <c r="F14" s="52"/>
      <c r="G14" s="27"/>
    </row>
    <row r="15" spans="1:7" ht="41">
      <c r="A15" s="52"/>
      <c r="B15" s="53"/>
      <c r="C15" s="54"/>
      <c r="D15" s="55"/>
      <c r="E15" s="58"/>
      <c r="F15" s="52"/>
      <c r="G15" s="69" t="s">
        <v>164</v>
      </c>
    </row>
    <row r="16" spans="1:7">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45000</v>
      </c>
      <c r="F23" s="62"/>
      <c r="G23" s="2"/>
    </row>
    <row r="24" spans="1:7" ht="24.5">
      <c r="A24" s="62"/>
      <c r="B24" s="63" t="s">
        <v>34</v>
      </c>
      <c r="C24" s="54"/>
      <c r="D24" s="62"/>
      <c r="E24" s="65">
        <f>E23*0%</f>
        <v>0</v>
      </c>
      <c r="F24" s="62"/>
      <c r="G24" s="2"/>
    </row>
    <row r="25" spans="1:7" ht="24.5">
      <c r="A25" s="62"/>
      <c r="B25" s="66" t="s">
        <v>35</v>
      </c>
      <c r="C25" s="62"/>
      <c r="D25" s="62"/>
      <c r="E25" s="67">
        <f>SUM(E23:E24)</f>
        <v>45000</v>
      </c>
      <c r="F25" s="62"/>
      <c r="G25" s="62"/>
    </row>
    <row r="26" spans="1:7" ht="24.5">
      <c r="A26" s="62"/>
      <c r="B26" s="66"/>
      <c r="C26" s="62"/>
      <c r="D26" s="62"/>
      <c r="E26" s="67"/>
      <c r="F26" s="62"/>
      <c r="G26" s="62"/>
    </row>
    <row r="27" spans="1:7" ht="33">
      <c r="A27" s="62"/>
      <c r="B27" s="68" t="s">
        <v>36</v>
      </c>
      <c r="C27" s="197" t="str">
        <f>BAHTTEXT(E25)</f>
        <v>สี่หมื่นห้าพันบาทถ้วน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4FAC-6A0D-448D-AD0D-17F2245FDC77}">
  <sheetPr>
    <pageSetUpPr fitToPage="1"/>
  </sheetPr>
  <dimension ref="A2:G27"/>
  <sheetViews>
    <sheetView zoomScale="115" zoomScaleNormal="115" workbookViewId="0">
      <selection activeCell="A2" sqref="A2:G27"/>
    </sheetView>
  </sheetViews>
  <sheetFormatPr defaultColWidth="9.08203125" defaultRowHeight="20.5"/>
  <cols>
    <col min="1" max="1" width="9.08203125" style="1"/>
    <col min="2" max="2" width="58.8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ht="21" customHeight="1">
      <c r="A5" s="52">
        <v>1</v>
      </c>
      <c r="B5" s="72" t="s">
        <v>589</v>
      </c>
      <c r="C5" s="54">
        <v>1</v>
      </c>
      <c r="D5" s="55">
        <v>7500</v>
      </c>
      <c r="E5" s="56">
        <f>D5*C5</f>
        <v>7500</v>
      </c>
      <c r="F5" s="52">
        <v>30</v>
      </c>
      <c r="G5" s="57" t="s">
        <v>161</v>
      </c>
    </row>
    <row r="6" spans="1:7" ht="21" customHeight="1">
      <c r="A6" s="52"/>
      <c r="B6" s="72" t="s">
        <v>590</v>
      </c>
      <c r="C6" s="54"/>
      <c r="D6" s="55"/>
      <c r="E6" s="58"/>
      <c r="F6" s="52"/>
      <c r="G6" s="27" t="s">
        <v>265</v>
      </c>
    </row>
    <row r="7" spans="1:7" ht="21" customHeight="1">
      <c r="A7" s="119"/>
      <c r="B7" s="117" t="s">
        <v>414</v>
      </c>
      <c r="C7" s="54"/>
      <c r="D7" s="55"/>
      <c r="E7" s="58"/>
      <c r="F7" s="52"/>
      <c r="G7" s="27" t="s">
        <v>29</v>
      </c>
    </row>
    <row r="8" spans="1:7">
      <c r="A8" s="120"/>
      <c r="B8" s="118" t="s">
        <v>415</v>
      </c>
      <c r="C8" s="54"/>
      <c r="D8" s="55"/>
      <c r="E8" s="58"/>
      <c r="F8" s="52"/>
      <c r="G8" s="27" t="s">
        <v>509</v>
      </c>
    </row>
    <row r="9" spans="1:7">
      <c r="A9" s="52"/>
      <c r="B9" s="72"/>
      <c r="C9" s="54"/>
      <c r="D9" s="55"/>
      <c r="E9" s="56"/>
      <c r="F9" s="52"/>
      <c r="G9" s="59"/>
    </row>
    <row r="10" spans="1:7">
      <c r="A10" s="52"/>
      <c r="B10" s="72"/>
      <c r="C10" s="54"/>
      <c r="D10" s="55"/>
      <c r="E10" s="58"/>
      <c r="F10" s="52"/>
      <c r="G10" s="60" t="s">
        <v>162</v>
      </c>
    </row>
    <row r="11" spans="1:7">
      <c r="A11" s="52"/>
      <c r="B11" s="72"/>
      <c r="C11" s="54"/>
      <c r="D11" s="55"/>
      <c r="E11" s="58"/>
      <c r="F11" s="52"/>
      <c r="G11" s="61" t="s">
        <v>31</v>
      </c>
    </row>
    <row r="12" spans="1:7">
      <c r="A12" s="52"/>
      <c r="B12" s="53"/>
      <c r="C12" s="54"/>
      <c r="D12" s="55"/>
      <c r="E12" s="58"/>
      <c r="F12" s="52"/>
      <c r="G12" s="27" t="s">
        <v>28</v>
      </c>
    </row>
    <row r="13" spans="1:7">
      <c r="A13" s="52"/>
      <c r="B13" s="53"/>
      <c r="C13" s="54"/>
      <c r="D13" s="55"/>
      <c r="E13" s="58"/>
      <c r="F13" s="52"/>
      <c r="G13" s="27" t="s">
        <v>285</v>
      </c>
    </row>
    <row r="14" spans="1:7">
      <c r="A14" s="52"/>
      <c r="B14" s="53"/>
      <c r="C14" s="54"/>
      <c r="D14" s="55"/>
      <c r="E14" s="58"/>
      <c r="F14" s="52"/>
      <c r="G14" s="27"/>
    </row>
    <row r="15" spans="1:7" ht="41">
      <c r="A15" s="52"/>
      <c r="B15" s="53"/>
      <c r="C15" s="54"/>
      <c r="D15" s="55"/>
      <c r="E15" s="58"/>
      <c r="F15" s="52"/>
      <c r="G15" s="69" t="s">
        <v>164</v>
      </c>
    </row>
    <row r="16" spans="1:7">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7500</v>
      </c>
      <c r="F23" s="62"/>
      <c r="G23" s="2"/>
    </row>
    <row r="24" spans="1:7" ht="24.5">
      <c r="A24" s="62"/>
      <c r="B24" s="63" t="s">
        <v>34</v>
      </c>
      <c r="C24" s="54"/>
      <c r="D24" s="62"/>
      <c r="E24" s="65">
        <f>E23*0%</f>
        <v>0</v>
      </c>
      <c r="F24" s="62"/>
      <c r="G24" s="2"/>
    </row>
    <row r="25" spans="1:7" ht="24.5">
      <c r="A25" s="62"/>
      <c r="B25" s="66" t="s">
        <v>35</v>
      </c>
      <c r="C25" s="62"/>
      <c r="D25" s="62"/>
      <c r="E25" s="67">
        <f>SUM(E23:E24)</f>
        <v>7500</v>
      </c>
      <c r="F25" s="62"/>
      <c r="G25" s="62"/>
    </row>
    <row r="26" spans="1:7" ht="24.5">
      <c r="A26" s="62"/>
      <c r="B26" s="66"/>
      <c r="C26" s="62"/>
      <c r="D26" s="62"/>
      <c r="E26" s="67"/>
      <c r="F26" s="62"/>
      <c r="G26" s="62"/>
    </row>
    <row r="27" spans="1:7" ht="33">
      <c r="A27" s="62"/>
      <c r="B27" s="68" t="s">
        <v>36</v>
      </c>
      <c r="C27" s="197" t="str">
        <f>BAHTTEXT(E25)</f>
        <v>เจ็ดพันห้าร้อยบาทถ้วน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7F80-D767-4D42-BD36-C6B3240A1A3C}">
  <dimension ref="A2:K21"/>
  <sheetViews>
    <sheetView topLeftCell="A3" zoomScale="85" zoomScaleNormal="85" workbookViewId="0">
      <selection activeCell="J17" sqref="J17"/>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9" t="s">
        <v>588</v>
      </c>
      <c r="C5" s="54">
        <v>60</v>
      </c>
      <c r="D5" s="55">
        <v>259</v>
      </c>
      <c r="E5" s="162">
        <f>+C5*D5</f>
        <v>15540</v>
      </c>
      <c r="F5" s="146">
        <v>30</v>
      </c>
      <c r="G5" s="148" t="s">
        <v>51</v>
      </c>
      <c r="K5" s="31" t="s">
        <v>459</v>
      </c>
    </row>
    <row r="6" spans="1:11" ht="25" customHeight="1">
      <c r="A6" s="146">
        <v>2</v>
      </c>
      <c r="B6" s="149"/>
      <c r="C6" s="76"/>
      <c r="D6" s="150"/>
      <c r="E6" s="77"/>
      <c r="F6" s="146"/>
      <c r="G6" s="151" t="s">
        <v>29</v>
      </c>
    </row>
    <row r="7" spans="1:11" ht="24">
      <c r="A7" s="146">
        <v>3</v>
      </c>
      <c r="B7" s="152"/>
      <c r="C7" s="76"/>
      <c r="D7" s="153"/>
      <c r="E7" s="77"/>
      <c r="F7" s="146"/>
      <c r="G7" s="154" t="s">
        <v>238</v>
      </c>
    </row>
    <row r="8" spans="1:11" ht="25" customHeight="1">
      <c r="A8" s="146">
        <v>4</v>
      </c>
      <c r="B8" s="153"/>
      <c r="C8" s="155"/>
      <c r="D8" s="77"/>
      <c r="E8" s="77"/>
      <c r="F8" s="146"/>
      <c r="G8" s="156" t="s">
        <v>509</v>
      </c>
    </row>
    <row r="9" spans="1:11" ht="25" customHeight="1">
      <c r="A9" s="146">
        <v>5</v>
      </c>
      <c r="B9" s="153"/>
      <c r="C9" s="157"/>
      <c r="D9" s="77"/>
      <c r="E9" s="77"/>
      <c r="F9" s="146"/>
      <c r="G9" s="158"/>
    </row>
    <row r="10" spans="1:11" ht="25" customHeight="1">
      <c r="A10" s="146">
        <v>6</v>
      </c>
      <c r="B10" s="153"/>
      <c r="C10" s="157"/>
      <c r="D10" s="77"/>
      <c r="E10" s="77"/>
      <c r="F10" s="146"/>
      <c r="G10" s="159"/>
    </row>
    <row r="11" spans="1:11" ht="25" customHeight="1">
      <c r="A11" s="146">
        <v>7</v>
      </c>
      <c r="B11" s="153"/>
      <c r="C11" s="157"/>
      <c r="D11" s="77"/>
      <c r="E11" s="77"/>
      <c r="F11" s="146"/>
      <c r="G11" s="153"/>
    </row>
    <row r="12" spans="1:11" ht="25" customHeight="1">
      <c r="A12" s="146">
        <v>8</v>
      </c>
      <c r="B12" s="153"/>
      <c r="C12" s="157"/>
      <c r="D12" s="77"/>
      <c r="E12" s="77"/>
      <c r="F12" s="146"/>
      <c r="G12" s="153"/>
    </row>
    <row r="13" spans="1:11" ht="25" customHeight="1">
      <c r="A13" s="146">
        <v>9</v>
      </c>
      <c r="B13" s="153"/>
      <c r="C13" s="157"/>
      <c r="D13" s="77"/>
      <c r="E13" s="77"/>
      <c r="F13" s="146"/>
      <c r="G13" s="153"/>
    </row>
    <row r="14" spans="1:11" ht="25" customHeight="1">
      <c r="A14" s="146">
        <v>10</v>
      </c>
      <c r="B14" s="153"/>
      <c r="C14" s="157"/>
      <c r="D14" s="77"/>
      <c r="E14" s="77"/>
      <c r="F14" s="146"/>
      <c r="G14" s="160" t="s">
        <v>463</v>
      </c>
    </row>
    <row r="15" spans="1:11" ht="25" customHeight="1">
      <c r="A15" s="146">
        <v>11</v>
      </c>
      <c r="B15" s="153"/>
      <c r="C15" s="157"/>
      <c r="D15" s="77"/>
      <c r="E15" s="77"/>
      <c r="F15" s="146"/>
      <c r="G15" s="154" t="s">
        <v>31</v>
      </c>
    </row>
    <row r="16" spans="1:11" ht="25" customHeight="1">
      <c r="A16" s="146">
        <v>12</v>
      </c>
      <c r="B16" s="161"/>
      <c r="C16" s="157"/>
      <c r="D16" s="77"/>
      <c r="E16" s="77"/>
      <c r="F16" s="146"/>
      <c r="G16" s="154" t="s">
        <v>32</v>
      </c>
    </row>
    <row r="17" spans="1:11" ht="25" customHeight="1">
      <c r="A17" s="146">
        <v>13</v>
      </c>
      <c r="B17" s="161"/>
      <c r="C17" s="157"/>
      <c r="D17" s="77"/>
      <c r="E17" s="77"/>
      <c r="F17" s="146"/>
      <c r="G17" s="154" t="s">
        <v>33</v>
      </c>
    </row>
    <row r="18" spans="1:11" ht="25" customHeight="1">
      <c r="A18" s="165"/>
      <c r="B18" s="166" t="s">
        <v>6</v>
      </c>
      <c r="C18" s="54"/>
      <c r="D18" s="165"/>
      <c r="E18" s="167">
        <f>SUM(E5:E17)</f>
        <v>15540</v>
      </c>
      <c r="F18" s="165"/>
      <c r="G18" s="154"/>
    </row>
    <row r="19" spans="1:11" ht="25" customHeight="1">
      <c r="A19" s="165"/>
      <c r="B19" s="168" t="s">
        <v>114</v>
      </c>
      <c r="C19" s="54"/>
      <c r="D19" s="165"/>
      <c r="E19" s="169">
        <f>+E18*7%</f>
        <v>1087.8000000000002</v>
      </c>
      <c r="F19" s="165"/>
      <c r="G19" s="154"/>
      <c r="K19" s="22"/>
    </row>
    <row r="20" spans="1:11" ht="25" customHeight="1">
      <c r="A20" s="165"/>
      <c r="B20" s="166" t="s">
        <v>35</v>
      </c>
      <c r="C20" s="165"/>
      <c r="D20" s="165"/>
      <c r="E20" s="170">
        <f>SUM(E18:E19)</f>
        <v>16627.8</v>
      </c>
      <c r="F20" s="165"/>
      <c r="G20" s="154"/>
    </row>
    <row r="21" spans="1:11" ht="25" customHeight="1">
      <c r="A21" s="165"/>
      <c r="B21" s="171" t="s">
        <v>36</v>
      </c>
      <c r="C21" s="191" t="str">
        <f>BAHTTEXT(E20)</f>
        <v>หนึ่งหมื่นหกพันหกร้อยยี่สิบเจ็ดบาทแปดสิบสตางค์</v>
      </c>
      <c r="D21" s="192"/>
      <c r="E21" s="192"/>
      <c r="F21" s="192"/>
      <c r="G21" s="193"/>
    </row>
  </sheetData>
  <mergeCells count="6">
    <mergeCell ref="C21:G21"/>
    <mergeCell ref="A2:A4"/>
    <mergeCell ref="B2:B4"/>
    <mergeCell ref="C2:C4"/>
    <mergeCell ref="D2:E2"/>
    <mergeCell ref="F2:F4"/>
  </mergeCells>
  <pageMargins left="0.7" right="0.7" top="0.75" bottom="0.75" header="0.3" footer="0.3"/>
  <pageSetup paperSize="9" scale="63"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EF980-22ED-4266-BBDA-BEF8414B9F1A}">
  <dimension ref="A2:K45"/>
  <sheetViews>
    <sheetView topLeftCell="A34" zoomScale="85" zoomScaleNormal="85" workbookViewId="0">
      <selection activeCell="F43" sqref="F43"/>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7" t="s">
        <v>555</v>
      </c>
      <c r="C5" s="76">
        <v>4</v>
      </c>
      <c r="D5" s="77">
        <v>27</v>
      </c>
      <c r="E5" s="77">
        <f>+C5*D5</f>
        <v>108</v>
      </c>
      <c r="F5" s="146">
        <v>30</v>
      </c>
      <c r="G5" s="148" t="s">
        <v>51</v>
      </c>
      <c r="K5" s="31" t="s">
        <v>459</v>
      </c>
    </row>
    <row r="6" spans="1:11" ht="25" customHeight="1">
      <c r="A6" s="146">
        <v>2</v>
      </c>
      <c r="B6" s="149" t="s">
        <v>556</v>
      </c>
      <c r="C6" s="76">
        <v>2</v>
      </c>
      <c r="D6" s="150">
        <v>53</v>
      </c>
      <c r="E6" s="77">
        <f t="shared" ref="E6:E32" si="0">+C6*D6</f>
        <v>106</v>
      </c>
      <c r="F6" s="146">
        <v>30</v>
      </c>
      <c r="G6" s="151" t="s">
        <v>29</v>
      </c>
    </row>
    <row r="7" spans="1:11" ht="24">
      <c r="A7" s="146">
        <v>3</v>
      </c>
      <c r="B7" s="152" t="s">
        <v>557</v>
      </c>
      <c r="C7" s="76">
        <v>1</v>
      </c>
      <c r="D7" s="153">
        <v>281.42</v>
      </c>
      <c r="E7" s="77">
        <f t="shared" si="0"/>
        <v>281.42</v>
      </c>
      <c r="F7" s="146">
        <v>30</v>
      </c>
      <c r="G7" s="154" t="s">
        <v>238</v>
      </c>
    </row>
    <row r="8" spans="1:11" ht="25" customHeight="1">
      <c r="A8" s="146">
        <v>4</v>
      </c>
      <c r="B8" s="153" t="s">
        <v>558</v>
      </c>
      <c r="C8" s="155">
        <v>12</v>
      </c>
      <c r="D8" s="77">
        <v>112.0416666</v>
      </c>
      <c r="E8" s="77">
        <f t="shared" si="0"/>
        <v>1344.4999992</v>
      </c>
      <c r="F8" s="146">
        <v>30</v>
      </c>
      <c r="G8" s="156" t="s">
        <v>509</v>
      </c>
    </row>
    <row r="9" spans="1:11" ht="25" customHeight="1">
      <c r="A9" s="146">
        <v>5</v>
      </c>
      <c r="B9" s="153" t="s">
        <v>559</v>
      </c>
      <c r="C9" s="157">
        <v>8</v>
      </c>
      <c r="D9" s="77">
        <v>274.88499999999999</v>
      </c>
      <c r="E9" s="77">
        <f t="shared" si="0"/>
        <v>2199.08</v>
      </c>
      <c r="F9" s="146">
        <v>30</v>
      </c>
      <c r="G9" s="158"/>
    </row>
    <row r="10" spans="1:11" ht="25" customHeight="1">
      <c r="A10" s="146">
        <v>6</v>
      </c>
      <c r="B10" s="153" t="s">
        <v>560</v>
      </c>
      <c r="C10" s="157">
        <v>1</v>
      </c>
      <c r="D10" s="77">
        <v>69</v>
      </c>
      <c r="E10" s="77">
        <f t="shared" si="0"/>
        <v>69</v>
      </c>
      <c r="F10" s="146">
        <v>30</v>
      </c>
      <c r="G10" s="159"/>
    </row>
    <row r="11" spans="1:11" ht="25" customHeight="1">
      <c r="A11" s="146">
        <v>7</v>
      </c>
      <c r="B11" s="153" t="s">
        <v>561</v>
      </c>
      <c r="C11" s="157">
        <v>3</v>
      </c>
      <c r="D11" s="77">
        <v>19</v>
      </c>
      <c r="E11" s="77">
        <f t="shared" si="0"/>
        <v>57</v>
      </c>
      <c r="F11" s="146">
        <v>30</v>
      </c>
      <c r="G11" s="153"/>
    </row>
    <row r="12" spans="1:11" ht="25" customHeight="1">
      <c r="A12" s="146">
        <v>8</v>
      </c>
      <c r="B12" s="153" t="s">
        <v>562</v>
      </c>
      <c r="C12" s="157">
        <v>1</v>
      </c>
      <c r="D12" s="77">
        <v>15</v>
      </c>
      <c r="E12" s="77">
        <f t="shared" si="0"/>
        <v>15</v>
      </c>
      <c r="F12" s="146">
        <v>30</v>
      </c>
      <c r="G12" s="153"/>
    </row>
    <row r="13" spans="1:11" ht="25" customHeight="1">
      <c r="A13" s="146">
        <v>9</v>
      </c>
      <c r="B13" s="153" t="s">
        <v>563</v>
      </c>
      <c r="C13" s="157">
        <v>1</v>
      </c>
      <c r="D13" s="77">
        <v>10</v>
      </c>
      <c r="E13" s="77">
        <f t="shared" si="0"/>
        <v>10</v>
      </c>
      <c r="F13" s="146">
        <v>30</v>
      </c>
      <c r="G13" s="153"/>
    </row>
    <row r="14" spans="1:11" ht="25" customHeight="1">
      <c r="A14" s="146">
        <v>10</v>
      </c>
      <c r="B14" s="153" t="s">
        <v>564</v>
      </c>
      <c r="C14" s="157">
        <v>3</v>
      </c>
      <c r="D14" s="77">
        <v>39</v>
      </c>
      <c r="E14" s="77">
        <f t="shared" si="0"/>
        <v>117</v>
      </c>
      <c r="F14" s="146">
        <v>30</v>
      </c>
      <c r="G14" s="160" t="s">
        <v>463</v>
      </c>
    </row>
    <row r="15" spans="1:11" ht="25" customHeight="1">
      <c r="A15" s="146">
        <v>11</v>
      </c>
      <c r="B15" s="153" t="s">
        <v>559</v>
      </c>
      <c r="C15" s="157">
        <v>2</v>
      </c>
      <c r="D15" s="77">
        <v>358</v>
      </c>
      <c r="E15" s="77">
        <f t="shared" si="0"/>
        <v>716</v>
      </c>
      <c r="F15" s="146">
        <v>30</v>
      </c>
      <c r="G15" s="154" t="s">
        <v>31</v>
      </c>
    </row>
    <row r="16" spans="1:11" ht="25" customHeight="1">
      <c r="A16" s="146">
        <v>12</v>
      </c>
      <c r="B16" s="161" t="s">
        <v>565</v>
      </c>
      <c r="C16" s="157">
        <v>8</v>
      </c>
      <c r="D16" s="77">
        <v>213.97125</v>
      </c>
      <c r="E16" s="77">
        <f t="shared" si="0"/>
        <v>1711.77</v>
      </c>
      <c r="F16" s="146">
        <v>30</v>
      </c>
      <c r="G16" s="154" t="s">
        <v>32</v>
      </c>
    </row>
    <row r="17" spans="1:7" ht="25" customHeight="1">
      <c r="A17" s="146">
        <v>13</v>
      </c>
      <c r="B17" s="161" t="s">
        <v>566</v>
      </c>
      <c r="C17" s="157">
        <v>3</v>
      </c>
      <c r="D17" s="77">
        <v>80.239999999999995</v>
      </c>
      <c r="E17" s="77">
        <f>+C17*D17</f>
        <v>240.71999999999997</v>
      </c>
      <c r="F17" s="146">
        <v>30</v>
      </c>
      <c r="G17" s="154" t="s">
        <v>33</v>
      </c>
    </row>
    <row r="18" spans="1:7" ht="25" customHeight="1">
      <c r="A18" s="146">
        <v>14</v>
      </c>
      <c r="B18" s="153" t="s">
        <v>559</v>
      </c>
      <c r="C18" s="157">
        <v>4</v>
      </c>
      <c r="D18" s="77">
        <v>308.8775</v>
      </c>
      <c r="E18" s="77">
        <f t="shared" si="0"/>
        <v>1235.51</v>
      </c>
      <c r="F18" s="146">
        <v>30</v>
      </c>
      <c r="G18" s="158"/>
    </row>
    <row r="19" spans="1:7" ht="25" customHeight="1">
      <c r="A19" s="146">
        <v>15</v>
      </c>
      <c r="B19" s="161" t="s">
        <v>567</v>
      </c>
      <c r="C19" s="157">
        <v>2</v>
      </c>
      <c r="D19" s="77">
        <v>149.26</v>
      </c>
      <c r="E19" s="77">
        <f t="shared" si="0"/>
        <v>298.52</v>
      </c>
      <c r="F19" s="146">
        <v>30</v>
      </c>
      <c r="G19" s="158"/>
    </row>
    <row r="20" spans="1:7" ht="25" customHeight="1">
      <c r="A20" s="146">
        <v>16</v>
      </c>
      <c r="B20" s="153" t="s">
        <v>568</v>
      </c>
      <c r="C20" s="157">
        <v>3</v>
      </c>
      <c r="D20" s="77">
        <v>28.473299999999998</v>
      </c>
      <c r="E20" s="77">
        <f t="shared" si="0"/>
        <v>85.419899999999998</v>
      </c>
      <c r="F20" s="146">
        <v>30</v>
      </c>
      <c r="G20" s="153"/>
    </row>
    <row r="21" spans="1:7" ht="25" customHeight="1">
      <c r="A21" s="146">
        <v>17</v>
      </c>
      <c r="B21" s="153" t="s">
        <v>569</v>
      </c>
      <c r="C21" s="157">
        <v>2</v>
      </c>
      <c r="D21" s="77">
        <v>84.555000000000007</v>
      </c>
      <c r="E21" s="77">
        <f t="shared" si="0"/>
        <v>169.11</v>
      </c>
      <c r="F21" s="146">
        <v>30</v>
      </c>
      <c r="G21" s="153"/>
    </row>
    <row r="22" spans="1:7" ht="25" customHeight="1">
      <c r="A22" s="146">
        <v>18</v>
      </c>
      <c r="B22" s="153" t="s">
        <v>570</v>
      </c>
      <c r="C22" s="157">
        <v>1</v>
      </c>
      <c r="D22" s="77">
        <v>37.1</v>
      </c>
      <c r="E22" s="77">
        <f t="shared" si="0"/>
        <v>37.1</v>
      </c>
      <c r="F22" s="146">
        <v>30</v>
      </c>
      <c r="G22" s="159"/>
    </row>
    <row r="23" spans="1:7" ht="25" customHeight="1">
      <c r="A23" s="146">
        <v>19</v>
      </c>
      <c r="B23" s="161" t="s">
        <v>571</v>
      </c>
      <c r="C23" s="157">
        <v>2</v>
      </c>
      <c r="D23" s="77">
        <v>38.825000000000003</v>
      </c>
      <c r="E23" s="77">
        <f t="shared" si="0"/>
        <v>77.650000000000006</v>
      </c>
      <c r="F23" s="146">
        <v>30</v>
      </c>
      <c r="G23" s="158"/>
    </row>
    <row r="24" spans="1:7" ht="25" customHeight="1">
      <c r="A24" s="146">
        <v>20</v>
      </c>
      <c r="B24" s="153" t="s">
        <v>572</v>
      </c>
      <c r="C24" s="157">
        <v>5</v>
      </c>
      <c r="D24" s="77">
        <v>40.552</v>
      </c>
      <c r="E24" s="77">
        <f t="shared" si="0"/>
        <v>202.76</v>
      </c>
      <c r="F24" s="146">
        <v>30</v>
      </c>
      <c r="G24" s="159"/>
    </row>
    <row r="25" spans="1:7" ht="25" customHeight="1">
      <c r="A25" s="146">
        <v>21</v>
      </c>
      <c r="B25" s="153" t="s">
        <v>558</v>
      </c>
      <c r="C25" s="157">
        <v>18</v>
      </c>
      <c r="D25" s="77">
        <v>123.857777777777</v>
      </c>
      <c r="E25" s="77">
        <f t="shared" si="0"/>
        <v>2229.439999999986</v>
      </c>
      <c r="F25" s="146">
        <v>30</v>
      </c>
      <c r="G25" s="159"/>
    </row>
    <row r="26" spans="1:7" ht="25" customHeight="1">
      <c r="A26" s="146">
        <v>22</v>
      </c>
      <c r="B26" s="153" t="s">
        <v>573</v>
      </c>
      <c r="C26" s="157">
        <v>11</v>
      </c>
      <c r="D26" s="77">
        <v>741.63636363636294</v>
      </c>
      <c r="E26" s="77">
        <f t="shared" si="0"/>
        <v>8157.9999999999927</v>
      </c>
      <c r="F26" s="146">
        <v>30</v>
      </c>
      <c r="G26" s="158"/>
    </row>
    <row r="27" spans="1:7" ht="25" customHeight="1">
      <c r="A27" s="146">
        <v>23</v>
      </c>
      <c r="B27" s="153" t="s">
        <v>574</v>
      </c>
      <c r="C27" s="157">
        <v>4</v>
      </c>
      <c r="D27" s="77">
        <v>1678</v>
      </c>
      <c r="E27" s="77">
        <f t="shared" si="0"/>
        <v>6712</v>
      </c>
      <c r="F27" s="146">
        <v>30</v>
      </c>
      <c r="G27" s="153"/>
    </row>
    <row r="28" spans="1:7">
      <c r="A28" s="146">
        <v>24</v>
      </c>
      <c r="B28" s="152" t="s">
        <v>575</v>
      </c>
      <c r="C28" s="76">
        <v>1</v>
      </c>
      <c r="D28" s="77">
        <v>1878</v>
      </c>
      <c r="E28" s="162">
        <f t="shared" si="0"/>
        <v>1878</v>
      </c>
      <c r="F28" s="146">
        <v>30</v>
      </c>
      <c r="G28" s="154"/>
    </row>
    <row r="29" spans="1:7" ht="25" customHeight="1">
      <c r="A29" s="146">
        <v>25</v>
      </c>
      <c r="B29" s="163" t="s">
        <v>576</v>
      </c>
      <c r="C29" s="54">
        <v>1</v>
      </c>
      <c r="D29" s="55">
        <v>2570</v>
      </c>
      <c r="E29" s="162">
        <f t="shared" si="0"/>
        <v>2570</v>
      </c>
      <c r="F29" s="146">
        <v>30</v>
      </c>
      <c r="G29" s="154"/>
    </row>
    <row r="30" spans="1:7" ht="25" customHeight="1">
      <c r="A30" s="146">
        <v>26</v>
      </c>
      <c r="B30" s="149" t="s">
        <v>577</v>
      </c>
      <c r="C30" s="54">
        <v>2</v>
      </c>
      <c r="D30" s="55">
        <v>158</v>
      </c>
      <c r="E30" s="162">
        <f t="shared" si="0"/>
        <v>316</v>
      </c>
      <c r="F30" s="146">
        <v>30</v>
      </c>
      <c r="G30" s="154"/>
    </row>
    <row r="31" spans="1:7" ht="25" customHeight="1">
      <c r="A31" s="146">
        <v>27</v>
      </c>
      <c r="B31" s="149" t="s">
        <v>578</v>
      </c>
      <c r="C31" s="54">
        <v>1</v>
      </c>
      <c r="D31" s="55">
        <v>78</v>
      </c>
      <c r="E31" s="162">
        <f t="shared" si="0"/>
        <v>78</v>
      </c>
      <c r="F31" s="146">
        <v>30</v>
      </c>
      <c r="G31" s="154"/>
    </row>
    <row r="32" spans="1:7" ht="25" customHeight="1">
      <c r="A32" s="146">
        <v>28</v>
      </c>
      <c r="B32" s="163" t="s">
        <v>580</v>
      </c>
      <c r="C32" s="54">
        <v>1</v>
      </c>
      <c r="D32" s="55">
        <v>139</v>
      </c>
      <c r="E32" s="162">
        <f t="shared" si="0"/>
        <v>139</v>
      </c>
      <c r="F32" s="146">
        <v>30</v>
      </c>
      <c r="G32" s="154"/>
    </row>
    <row r="33" spans="1:11" ht="25" customHeight="1">
      <c r="A33" s="146">
        <v>29</v>
      </c>
      <c r="B33" s="163" t="s">
        <v>579</v>
      </c>
      <c r="C33" s="54">
        <v>3</v>
      </c>
      <c r="D33" s="55">
        <v>58</v>
      </c>
      <c r="E33" s="162">
        <f t="shared" ref="E33" si="1">+C33*D33</f>
        <v>174</v>
      </c>
      <c r="F33" s="146">
        <v>30</v>
      </c>
      <c r="G33" s="154"/>
    </row>
    <row r="34" spans="1:11" ht="25" customHeight="1">
      <c r="A34" s="146">
        <v>30</v>
      </c>
      <c r="B34" s="149" t="s">
        <v>581</v>
      </c>
      <c r="C34" s="54">
        <v>2</v>
      </c>
      <c r="D34" s="55">
        <v>140</v>
      </c>
      <c r="E34" s="162">
        <f>+C34*D34</f>
        <v>280</v>
      </c>
      <c r="F34" s="146">
        <v>30</v>
      </c>
      <c r="G34" s="154"/>
    </row>
    <row r="35" spans="1:11" ht="25" customHeight="1">
      <c r="A35" s="146">
        <v>31</v>
      </c>
      <c r="B35" s="149" t="s">
        <v>582</v>
      </c>
      <c r="C35" s="54">
        <v>3</v>
      </c>
      <c r="D35" s="55">
        <v>65</v>
      </c>
      <c r="E35" s="162">
        <f>+C35*D35</f>
        <v>195</v>
      </c>
      <c r="F35" s="146">
        <v>30</v>
      </c>
      <c r="G35" s="154"/>
    </row>
    <row r="36" spans="1:11" ht="25" customHeight="1">
      <c r="A36" s="146">
        <v>32</v>
      </c>
      <c r="B36" s="149" t="s">
        <v>583</v>
      </c>
      <c r="C36" s="54">
        <v>3</v>
      </c>
      <c r="D36" s="55">
        <v>25</v>
      </c>
      <c r="E36" s="162">
        <f>+C36*D36</f>
        <v>75</v>
      </c>
      <c r="F36" s="146">
        <v>30</v>
      </c>
      <c r="G36" s="154"/>
    </row>
    <row r="37" spans="1:11" ht="25" customHeight="1">
      <c r="A37" s="146">
        <v>33</v>
      </c>
      <c r="B37" s="149" t="s">
        <v>584</v>
      </c>
      <c r="C37" s="54">
        <v>1</v>
      </c>
      <c r="D37" s="55">
        <v>217.7</v>
      </c>
      <c r="E37" s="162">
        <f>+C37*D37</f>
        <v>217.7</v>
      </c>
      <c r="F37" s="146">
        <v>30</v>
      </c>
      <c r="G37" s="154"/>
    </row>
    <row r="38" spans="1:11" ht="25" customHeight="1">
      <c r="A38" s="146">
        <v>34</v>
      </c>
      <c r="B38" s="149" t="s">
        <v>585</v>
      </c>
      <c r="C38" s="54">
        <v>1</v>
      </c>
      <c r="D38" s="55">
        <v>276.77</v>
      </c>
      <c r="E38" s="162">
        <f t="shared" ref="E38:E41" si="2">+C38*D38</f>
        <v>276.77</v>
      </c>
      <c r="F38" s="146">
        <v>30</v>
      </c>
      <c r="G38" s="154"/>
    </row>
    <row r="39" spans="1:11" ht="25" customHeight="1">
      <c r="A39" s="146">
        <v>35</v>
      </c>
      <c r="B39" s="149" t="s">
        <v>586</v>
      </c>
      <c r="C39" s="54">
        <v>2</v>
      </c>
      <c r="D39" s="55">
        <v>61.594999999999999</v>
      </c>
      <c r="E39" s="162">
        <f t="shared" si="2"/>
        <v>123.19</v>
      </c>
      <c r="F39" s="146">
        <v>30</v>
      </c>
      <c r="G39" s="154"/>
    </row>
    <row r="40" spans="1:11" ht="25" customHeight="1">
      <c r="A40" s="146">
        <v>36</v>
      </c>
      <c r="B40" s="149" t="s">
        <v>587</v>
      </c>
      <c r="C40" s="54">
        <v>1</v>
      </c>
      <c r="D40" s="55">
        <v>44.72</v>
      </c>
      <c r="E40" s="162">
        <f t="shared" si="2"/>
        <v>44.72</v>
      </c>
      <c r="F40" s="146">
        <v>30</v>
      </c>
      <c r="G40" s="154"/>
    </row>
    <row r="41" spans="1:11" ht="25" customHeight="1">
      <c r="A41" s="146">
        <v>37</v>
      </c>
      <c r="B41" s="153" t="s">
        <v>559</v>
      </c>
      <c r="C41" s="157">
        <v>7</v>
      </c>
      <c r="D41" s="55">
        <v>291.23142857142801</v>
      </c>
      <c r="E41" s="162">
        <f t="shared" si="2"/>
        <v>2038.619999999996</v>
      </c>
      <c r="F41" s="146">
        <v>30</v>
      </c>
      <c r="G41" s="154"/>
    </row>
    <row r="42" spans="1:11" ht="25" customHeight="1">
      <c r="A42" s="165"/>
      <c r="B42" s="166" t="s">
        <v>35</v>
      </c>
      <c r="C42" s="165"/>
      <c r="D42" s="165"/>
      <c r="E42" s="172">
        <f>SUM(E5:E41)</f>
        <v>34586.999899199982</v>
      </c>
      <c r="F42" s="165"/>
      <c r="G42" s="154"/>
    </row>
    <row r="43" spans="1:11" ht="25" customHeight="1">
      <c r="A43" s="165"/>
      <c r="B43" s="168" t="s">
        <v>114</v>
      </c>
      <c r="C43" s="54"/>
      <c r="D43" s="165"/>
      <c r="E43" s="167">
        <f>(E5+E6+E7+E8+E9+E10+E11+E12+E13+E14+E15+E16+E17+E18+E19+E20+E21+E22+E23+E24+E25+E26+E27+E28+E29+E30+E31+E32+E33+E34+E37+E38+E39+E40+E41)*7/107</f>
        <v>2245.0373765831764</v>
      </c>
      <c r="F43" s="165"/>
      <c r="G43" s="154"/>
      <c r="K43" s="22"/>
    </row>
    <row r="44" spans="1:11" ht="25" customHeight="1">
      <c r="A44" s="165"/>
      <c r="B44" s="166" t="s">
        <v>6</v>
      </c>
      <c r="C44" s="54"/>
      <c r="D44" s="165"/>
      <c r="E44" s="173">
        <f>E42-E43</f>
        <v>32341.962522616806</v>
      </c>
      <c r="F44" s="165"/>
      <c r="G44" s="154"/>
    </row>
    <row r="45" spans="1:11" ht="25" customHeight="1">
      <c r="A45" s="165"/>
      <c r="B45" s="171" t="s">
        <v>36</v>
      </c>
      <c r="C45" s="191" t="str">
        <f>BAHTTEXT(E42)</f>
        <v>สามหมื่นสี่พันห้าร้อยแปดสิบเจ็ดบาทถ้วน</v>
      </c>
      <c r="D45" s="192"/>
      <c r="E45" s="192"/>
      <c r="F45" s="192"/>
      <c r="G45" s="193"/>
    </row>
  </sheetData>
  <mergeCells count="6">
    <mergeCell ref="C45:G45"/>
    <mergeCell ref="A2:A4"/>
    <mergeCell ref="B2:B4"/>
    <mergeCell ref="C2:C4"/>
    <mergeCell ref="D2:E2"/>
    <mergeCell ref="F2:F4"/>
  </mergeCells>
  <pageMargins left="0.7" right="0.7" top="0.75" bottom="0.75" header="0.3" footer="0.3"/>
  <pageSetup paperSize="9" scale="63"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15CF-8139-4B64-9CD2-14151EDE9E10}">
  <dimension ref="A2:K37"/>
  <sheetViews>
    <sheetView topLeftCell="A8" zoomScale="85" zoomScaleNormal="85" workbookViewId="0">
      <selection activeCell="J36" sqref="J36"/>
    </sheetView>
  </sheetViews>
  <sheetFormatPr defaultColWidth="9.08203125" defaultRowHeight="20.5"/>
  <cols>
    <col min="1" max="1" width="6.83203125" style="1" customWidth="1"/>
    <col min="2" max="2" width="66.75" style="1" customWidth="1"/>
    <col min="3" max="3" width="7.33203125" style="1" bestFit="1" customWidth="1"/>
    <col min="4" max="4" width="13.83203125" style="1" bestFit="1" customWidth="1"/>
    <col min="5" max="5" width="14.91406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146">
        <v>1</v>
      </c>
      <c r="B5" s="147" t="s">
        <v>526</v>
      </c>
      <c r="C5" s="76">
        <v>4</v>
      </c>
      <c r="D5" s="77">
        <v>400</v>
      </c>
      <c r="E5" s="77">
        <f>+C5*D5</f>
        <v>1600</v>
      </c>
      <c r="F5" s="146">
        <v>30</v>
      </c>
      <c r="G5" s="148" t="s">
        <v>51</v>
      </c>
      <c r="K5" s="31" t="s">
        <v>459</v>
      </c>
    </row>
    <row r="6" spans="1:11" ht="25" customHeight="1">
      <c r="A6" s="146">
        <v>2</v>
      </c>
      <c r="B6" s="149" t="s">
        <v>527</v>
      </c>
      <c r="C6" s="76">
        <v>4</v>
      </c>
      <c r="D6" s="150">
        <v>400</v>
      </c>
      <c r="E6" s="77">
        <f t="shared" ref="E6:E33" si="0">+C6*D6</f>
        <v>1600</v>
      </c>
      <c r="F6" s="146">
        <v>30</v>
      </c>
      <c r="G6" s="154" t="s">
        <v>29</v>
      </c>
    </row>
    <row r="7" spans="1:11" ht="24">
      <c r="A7" s="146">
        <v>3</v>
      </c>
      <c r="B7" s="152" t="s">
        <v>528</v>
      </c>
      <c r="C7" s="76">
        <v>20</v>
      </c>
      <c r="D7" s="153">
        <v>2700</v>
      </c>
      <c r="E7" s="77">
        <f t="shared" si="0"/>
        <v>54000</v>
      </c>
      <c r="F7" s="146">
        <v>30</v>
      </c>
      <c r="G7" s="154" t="s">
        <v>238</v>
      </c>
    </row>
    <row r="8" spans="1:11" ht="25" customHeight="1">
      <c r="A8" s="146">
        <v>4</v>
      </c>
      <c r="B8" s="153" t="s">
        <v>529</v>
      </c>
      <c r="C8" s="155">
        <v>6</v>
      </c>
      <c r="D8" s="77">
        <v>850</v>
      </c>
      <c r="E8" s="77">
        <f t="shared" si="0"/>
        <v>5100</v>
      </c>
      <c r="F8" s="146">
        <v>30</v>
      </c>
      <c r="G8" s="156" t="s">
        <v>509</v>
      </c>
    </row>
    <row r="9" spans="1:11" ht="25" customHeight="1">
      <c r="A9" s="146">
        <v>5</v>
      </c>
      <c r="B9" s="153" t="s">
        <v>530</v>
      </c>
      <c r="C9" s="157">
        <v>6</v>
      </c>
      <c r="D9" s="77">
        <v>750</v>
      </c>
      <c r="E9" s="77">
        <f t="shared" si="0"/>
        <v>4500</v>
      </c>
      <c r="F9" s="146">
        <v>30</v>
      </c>
      <c r="G9" s="158"/>
    </row>
    <row r="10" spans="1:11" ht="25" customHeight="1">
      <c r="A10" s="146">
        <v>6</v>
      </c>
      <c r="B10" s="153" t="s">
        <v>531</v>
      </c>
      <c r="C10" s="157">
        <v>10</v>
      </c>
      <c r="D10" s="77">
        <v>75</v>
      </c>
      <c r="E10" s="77">
        <f t="shared" si="0"/>
        <v>750</v>
      </c>
      <c r="F10" s="146">
        <v>30</v>
      </c>
      <c r="G10" s="159"/>
    </row>
    <row r="11" spans="1:11" ht="25" customHeight="1">
      <c r="A11" s="146">
        <v>7</v>
      </c>
      <c r="B11" s="153" t="s">
        <v>532</v>
      </c>
      <c r="C11" s="157">
        <v>5</v>
      </c>
      <c r="D11" s="77">
        <v>40</v>
      </c>
      <c r="E11" s="77">
        <f t="shared" si="0"/>
        <v>200</v>
      </c>
      <c r="F11" s="146">
        <v>30</v>
      </c>
      <c r="G11" s="153"/>
    </row>
    <row r="12" spans="1:11" ht="25" customHeight="1">
      <c r="A12" s="146">
        <v>8</v>
      </c>
      <c r="B12" s="153" t="s">
        <v>533</v>
      </c>
      <c r="C12" s="157">
        <v>4</v>
      </c>
      <c r="D12" s="77">
        <v>20</v>
      </c>
      <c r="E12" s="77">
        <f t="shared" si="0"/>
        <v>80</v>
      </c>
      <c r="F12" s="146">
        <v>30</v>
      </c>
      <c r="G12" s="153"/>
    </row>
    <row r="13" spans="1:11" ht="25" customHeight="1">
      <c r="A13" s="146">
        <v>9</v>
      </c>
      <c r="B13" s="153" t="s">
        <v>534</v>
      </c>
      <c r="C13" s="157">
        <v>4</v>
      </c>
      <c r="D13" s="77">
        <v>40</v>
      </c>
      <c r="E13" s="77">
        <f t="shared" si="0"/>
        <v>160</v>
      </c>
      <c r="F13" s="146">
        <v>30</v>
      </c>
      <c r="G13" s="153"/>
    </row>
    <row r="14" spans="1:11" ht="25" customHeight="1">
      <c r="A14" s="146">
        <v>10</v>
      </c>
      <c r="B14" s="153" t="s">
        <v>535</v>
      </c>
      <c r="C14" s="157">
        <v>10</v>
      </c>
      <c r="D14" s="77">
        <v>120</v>
      </c>
      <c r="E14" s="77">
        <f t="shared" si="0"/>
        <v>1200</v>
      </c>
      <c r="F14" s="146">
        <v>30</v>
      </c>
      <c r="G14" s="160" t="s">
        <v>463</v>
      </c>
    </row>
    <row r="15" spans="1:11" ht="25" customHeight="1">
      <c r="A15" s="146">
        <v>11</v>
      </c>
      <c r="B15" s="161" t="s">
        <v>541</v>
      </c>
      <c r="C15" s="157">
        <v>60</v>
      </c>
      <c r="D15" s="77">
        <v>12</v>
      </c>
      <c r="E15" s="77">
        <f t="shared" si="0"/>
        <v>720</v>
      </c>
      <c r="F15" s="146">
        <v>30</v>
      </c>
      <c r="G15" s="154" t="s">
        <v>31</v>
      </c>
    </row>
    <row r="16" spans="1:11" ht="25" customHeight="1">
      <c r="A16" s="146">
        <v>12</v>
      </c>
      <c r="B16" s="161" t="s">
        <v>542</v>
      </c>
      <c r="C16" s="157">
        <v>20</v>
      </c>
      <c r="D16" s="77">
        <v>20</v>
      </c>
      <c r="E16" s="77">
        <f t="shared" si="0"/>
        <v>400</v>
      </c>
      <c r="F16" s="146">
        <v>30</v>
      </c>
      <c r="G16" s="154" t="s">
        <v>32</v>
      </c>
    </row>
    <row r="17" spans="1:7" ht="25" customHeight="1">
      <c r="A17" s="146">
        <v>13</v>
      </c>
      <c r="B17" s="161" t="s">
        <v>543</v>
      </c>
      <c r="C17" s="157">
        <v>5</v>
      </c>
      <c r="D17" s="77">
        <v>200</v>
      </c>
      <c r="E17" s="77">
        <f t="shared" si="0"/>
        <v>1000</v>
      </c>
      <c r="F17" s="146">
        <v>30</v>
      </c>
      <c r="G17" s="154" t="s">
        <v>33</v>
      </c>
    </row>
    <row r="18" spans="1:7" ht="25" customHeight="1">
      <c r="A18" s="146">
        <v>14</v>
      </c>
      <c r="B18" s="161" t="s">
        <v>544</v>
      </c>
      <c r="C18" s="157">
        <v>5</v>
      </c>
      <c r="D18" s="77">
        <v>200</v>
      </c>
      <c r="E18" s="77">
        <f t="shared" si="0"/>
        <v>1000</v>
      </c>
      <c r="F18" s="146">
        <v>30</v>
      </c>
      <c r="G18" s="158"/>
    </row>
    <row r="19" spans="1:7" ht="25" customHeight="1">
      <c r="A19" s="146">
        <v>15</v>
      </c>
      <c r="B19" s="153" t="s">
        <v>536</v>
      </c>
      <c r="C19" s="157">
        <v>2</v>
      </c>
      <c r="D19" s="77">
        <v>250</v>
      </c>
      <c r="E19" s="77">
        <f t="shared" si="0"/>
        <v>500</v>
      </c>
      <c r="F19" s="146">
        <v>30</v>
      </c>
      <c r="G19" s="153"/>
    </row>
    <row r="20" spans="1:7" ht="25" customHeight="1">
      <c r="A20" s="146">
        <v>16</v>
      </c>
      <c r="B20" s="153" t="s">
        <v>537</v>
      </c>
      <c r="C20" s="157">
        <v>2</v>
      </c>
      <c r="D20" s="77">
        <v>250</v>
      </c>
      <c r="E20" s="77">
        <f t="shared" si="0"/>
        <v>500</v>
      </c>
      <c r="F20" s="146">
        <v>30</v>
      </c>
      <c r="G20" s="153"/>
    </row>
    <row r="21" spans="1:7" ht="25" customHeight="1">
      <c r="A21" s="146">
        <v>17</v>
      </c>
      <c r="B21" s="153" t="s">
        <v>538</v>
      </c>
      <c r="C21" s="157">
        <v>60</v>
      </c>
      <c r="D21" s="77">
        <v>30</v>
      </c>
      <c r="E21" s="77">
        <f t="shared" si="0"/>
        <v>1800</v>
      </c>
      <c r="F21" s="146">
        <v>30</v>
      </c>
      <c r="G21" s="2"/>
    </row>
    <row r="22" spans="1:7" ht="25" customHeight="1">
      <c r="A22" s="146">
        <v>18</v>
      </c>
      <c r="B22" s="153" t="s">
        <v>539</v>
      </c>
      <c r="C22" s="157">
        <v>60</v>
      </c>
      <c r="D22" s="77">
        <v>30</v>
      </c>
      <c r="E22" s="77">
        <f t="shared" si="0"/>
        <v>1800</v>
      </c>
      <c r="F22" s="146">
        <v>30</v>
      </c>
      <c r="G22" s="2"/>
    </row>
    <row r="23" spans="1:7" ht="25" customHeight="1">
      <c r="A23" s="146">
        <v>19</v>
      </c>
      <c r="B23" s="153" t="s">
        <v>545</v>
      </c>
      <c r="C23" s="157">
        <v>60</v>
      </c>
      <c r="D23" s="77">
        <v>30</v>
      </c>
      <c r="E23" s="77">
        <f t="shared" si="0"/>
        <v>1800</v>
      </c>
      <c r="F23" s="146">
        <v>30</v>
      </c>
      <c r="G23" s="2"/>
    </row>
    <row r="24" spans="1:7" ht="25" customHeight="1">
      <c r="A24" s="146">
        <v>20</v>
      </c>
      <c r="B24" s="153" t="s">
        <v>540</v>
      </c>
      <c r="C24" s="157">
        <v>60</v>
      </c>
      <c r="D24" s="77">
        <v>12</v>
      </c>
      <c r="E24" s="77">
        <f t="shared" si="0"/>
        <v>720</v>
      </c>
      <c r="F24" s="146">
        <v>30</v>
      </c>
      <c r="G24" s="153"/>
    </row>
    <row r="25" spans="1:7">
      <c r="A25" s="146">
        <v>21</v>
      </c>
      <c r="B25" s="152" t="s">
        <v>546</v>
      </c>
      <c r="C25" s="76">
        <v>60</v>
      </c>
      <c r="D25" s="77">
        <v>8</v>
      </c>
      <c r="E25" s="162">
        <f t="shared" si="0"/>
        <v>480</v>
      </c>
      <c r="F25" s="146">
        <v>30</v>
      </c>
      <c r="G25" s="154"/>
    </row>
    <row r="26" spans="1:7" ht="25" customHeight="1">
      <c r="A26" s="146">
        <v>22</v>
      </c>
      <c r="B26" s="163" t="s">
        <v>547</v>
      </c>
      <c r="C26" s="54">
        <v>60</v>
      </c>
      <c r="D26" s="55">
        <v>8</v>
      </c>
      <c r="E26" s="162">
        <f t="shared" si="0"/>
        <v>480</v>
      </c>
      <c r="F26" s="146">
        <v>30</v>
      </c>
      <c r="G26" s="148" t="s">
        <v>51</v>
      </c>
    </row>
    <row r="27" spans="1:7" ht="25" customHeight="1">
      <c r="A27" s="146">
        <v>23</v>
      </c>
      <c r="B27" s="149" t="s">
        <v>548</v>
      </c>
      <c r="C27" s="54">
        <v>60</v>
      </c>
      <c r="D27" s="55">
        <v>8</v>
      </c>
      <c r="E27" s="162">
        <f t="shared" si="0"/>
        <v>480</v>
      </c>
      <c r="F27" s="146">
        <v>30</v>
      </c>
      <c r="G27" s="154" t="s">
        <v>29</v>
      </c>
    </row>
    <row r="28" spans="1:7" ht="25" customHeight="1">
      <c r="A28" s="146">
        <v>24</v>
      </c>
      <c r="B28" s="149" t="s">
        <v>549</v>
      </c>
      <c r="C28" s="54">
        <v>60</v>
      </c>
      <c r="D28" s="55">
        <v>8</v>
      </c>
      <c r="E28" s="162">
        <f t="shared" si="0"/>
        <v>480</v>
      </c>
      <c r="F28" s="146">
        <v>30</v>
      </c>
      <c r="G28" s="154" t="s">
        <v>238</v>
      </c>
    </row>
    <row r="29" spans="1:7" ht="25" customHeight="1">
      <c r="A29" s="146">
        <v>25</v>
      </c>
      <c r="B29" s="163" t="s">
        <v>550</v>
      </c>
      <c r="C29" s="54">
        <v>60</v>
      </c>
      <c r="D29" s="55">
        <v>8</v>
      </c>
      <c r="E29" s="162">
        <f t="shared" si="0"/>
        <v>480</v>
      </c>
      <c r="F29" s="146">
        <v>30</v>
      </c>
      <c r="G29" s="156" t="s">
        <v>509</v>
      </c>
    </row>
    <row r="30" spans="1:7" ht="25" customHeight="1">
      <c r="A30" s="146">
        <v>26</v>
      </c>
      <c r="B30" s="149" t="s">
        <v>551</v>
      </c>
      <c r="C30" s="54">
        <v>100</v>
      </c>
      <c r="D30" s="55">
        <v>15</v>
      </c>
      <c r="E30" s="162">
        <f t="shared" si="0"/>
        <v>1500</v>
      </c>
      <c r="F30" s="146">
        <v>30</v>
      </c>
      <c r="G30" s="154"/>
    </row>
    <row r="31" spans="1:7" ht="25" customHeight="1">
      <c r="A31" s="146">
        <v>27</v>
      </c>
      <c r="B31" s="149" t="s">
        <v>552</v>
      </c>
      <c r="C31" s="54">
        <v>100</v>
      </c>
      <c r="D31" s="55">
        <v>15</v>
      </c>
      <c r="E31" s="162">
        <f>+C31*D31</f>
        <v>1500</v>
      </c>
      <c r="F31" s="146">
        <v>30</v>
      </c>
      <c r="G31" s="160" t="s">
        <v>463</v>
      </c>
    </row>
    <row r="32" spans="1:7" ht="25" customHeight="1">
      <c r="A32" s="146">
        <v>28</v>
      </c>
      <c r="B32" s="149" t="s">
        <v>553</v>
      </c>
      <c r="C32" s="54">
        <v>60</v>
      </c>
      <c r="D32" s="55">
        <v>39</v>
      </c>
      <c r="E32" s="162">
        <f t="shared" si="0"/>
        <v>2340</v>
      </c>
      <c r="F32" s="146">
        <v>30</v>
      </c>
      <c r="G32" s="154" t="s">
        <v>31</v>
      </c>
    </row>
    <row r="33" spans="1:11" ht="25" customHeight="1">
      <c r="A33" s="146">
        <v>29</v>
      </c>
      <c r="B33" s="149" t="s">
        <v>554</v>
      </c>
      <c r="C33" s="54">
        <v>60</v>
      </c>
      <c r="D33" s="55">
        <v>10</v>
      </c>
      <c r="E33" s="164">
        <f t="shared" si="0"/>
        <v>600</v>
      </c>
      <c r="F33" s="146">
        <v>30</v>
      </c>
      <c r="G33" s="154" t="s">
        <v>32</v>
      </c>
    </row>
    <row r="34" spans="1:11" ht="25" customHeight="1">
      <c r="A34" s="165"/>
      <c r="B34" s="166" t="s">
        <v>6</v>
      </c>
      <c r="C34" s="54"/>
      <c r="D34" s="165"/>
      <c r="E34" s="167">
        <f>SUM(E5:E33)</f>
        <v>87770</v>
      </c>
      <c r="F34" s="165"/>
      <c r="G34" s="154" t="s">
        <v>33</v>
      </c>
    </row>
    <row r="35" spans="1:11" ht="25" customHeight="1">
      <c r="A35" s="165"/>
      <c r="B35" s="168" t="s">
        <v>114</v>
      </c>
      <c r="C35" s="54"/>
      <c r="D35" s="165"/>
      <c r="E35" s="174">
        <f>+E34*7%</f>
        <v>6143.9000000000005</v>
      </c>
      <c r="F35" s="165"/>
      <c r="G35" s="154"/>
      <c r="K35" s="22"/>
    </row>
    <row r="36" spans="1:11" ht="25" customHeight="1">
      <c r="A36" s="165"/>
      <c r="B36" s="166" t="s">
        <v>35</v>
      </c>
      <c r="C36" s="165"/>
      <c r="D36" s="165"/>
      <c r="E36" s="170">
        <f>SUM(E34:E35)</f>
        <v>93913.9</v>
      </c>
      <c r="F36" s="165"/>
      <c r="G36" s="154"/>
    </row>
    <row r="37" spans="1:11" ht="25" customHeight="1">
      <c r="A37" s="165"/>
      <c r="B37" s="171" t="s">
        <v>36</v>
      </c>
      <c r="C37" s="191" t="str">
        <f>BAHTTEXT(E36)</f>
        <v>เก้าหมื่นสามพันเก้าร้อยสิบสามบาทเก้าสิบสตางค์</v>
      </c>
      <c r="D37" s="192"/>
      <c r="E37" s="192"/>
      <c r="F37" s="192"/>
      <c r="G37" s="193"/>
    </row>
  </sheetData>
  <mergeCells count="6">
    <mergeCell ref="C37:G37"/>
    <mergeCell ref="A2:A4"/>
    <mergeCell ref="B2:B4"/>
    <mergeCell ref="C2:C4"/>
    <mergeCell ref="D2:E2"/>
    <mergeCell ref="F2:F4"/>
  </mergeCells>
  <pageMargins left="0.7" right="0.7" top="0.75" bottom="0.75" header="0.3" footer="0.3"/>
  <pageSetup paperSize="9" scale="63"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E956E-EF10-4BE0-ADEC-68649280F951}">
  <sheetPr>
    <pageSetUpPr fitToPage="1"/>
  </sheetPr>
  <dimension ref="A2:G26"/>
  <sheetViews>
    <sheetView topLeftCell="A4" zoomScaleNormal="100" workbookViewId="0">
      <selection activeCell="B8" sqref="B8"/>
    </sheetView>
  </sheetViews>
  <sheetFormatPr defaultColWidth="9.08203125" defaultRowHeight="20.5"/>
  <cols>
    <col min="1" max="1" width="9.08203125" style="1"/>
    <col min="2" max="2" width="61.6640625" style="1" bestFit="1" customWidth="1"/>
    <col min="3" max="3" width="6.9140625" style="1" customWidth="1"/>
    <col min="4" max="5" width="15.58203125" style="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ht="24">
      <c r="A5" s="52">
        <v>1</v>
      </c>
      <c r="B5" s="144" t="s">
        <v>523</v>
      </c>
      <c r="C5" s="139" t="s">
        <v>525</v>
      </c>
      <c r="D5" s="141">
        <v>6490</v>
      </c>
      <c r="E5" s="138">
        <f>+C5*D5</f>
        <v>6490</v>
      </c>
      <c r="F5" s="52">
        <v>10</v>
      </c>
      <c r="G5" s="57" t="s">
        <v>161</v>
      </c>
    </row>
    <row r="6" spans="1:7" ht="48">
      <c r="A6" s="52"/>
      <c r="B6" s="143" t="s">
        <v>520</v>
      </c>
      <c r="C6" s="140"/>
      <c r="D6" s="141"/>
      <c r="E6" s="134"/>
      <c r="F6" s="52"/>
      <c r="G6" s="15" t="s">
        <v>259</v>
      </c>
    </row>
    <row r="7" spans="1:7">
      <c r="A7" s="52"/>
      <c r="B7" s="27" t="s">
        <v>524</v>
      </c>
      <c r="C7" s="140"/>
      <c r="D7" s="141"/>
      <c r="E7" s="134"/>
      <c r="F7" s="52"/>
      <c r="G7" s="31" t="s">
        <v>515</v>
      </c>
    </row>
    <row r="8" spans="1:7">
      <c r="A8" s="52"/>
      <c r="B8" s="145"/>
      <c r="C8" s="140"/>
      <c r="D8" s="141"/>
      <c r="E8" s="134"/>
      <c r="F8" s="52"/>
      <c r="G8" s="15" t="s">
        <v>509</v>
      </c>
    </row>
    <row r="9" spans="1:7">
      <c r="A9" s="52"/>
      <c r="B9" s="142"/>
      <c r="C9" s="139"/>
      <c r="D9" s="141"/>
      <c r="E9" s="138"/>
      <c r="F9" s="52"/>
      <c r="G9" s="27"/>
    </row>
    <row r="10" spans="1:7">
      <c r="A10" s="52"/>
      <c r="B10" s="75"/>
      <c r="C10" s="54"/>
      <c r="D10" s="55"/>
      <c r="E10" s="58"/>
      <c r="F10" s="52"/>
      <c r="G10" s="60" t="s">
        <v>162</v>
      </c>
    </row>
    <row r="11" spans="1:7">
      <c r="A11" s="52"/>
      <c r="B11" s="75"/>
      <c r="C11" s="54"/>
      <c r="D11" s="55"/>
      <c r="E11" s="58"/>
      <c r="F11" s="52"/>
      <c r="G11" s="15" t="s">
        <v>31</v>
      </c>
    </row>
    <row r="12" spans="1:7">
      <c r="A12" s="52"/>
      <c r="B12" s="53"/>
      <c r="C12" s="54"/>
      <c r="D12" s="55"/>
      <c r="E12" s="58"/>
      <c r="F12" s="52"/>
      <c r="G12" s="15" t="s">
        <v>28</v>
      </c>
    </row>
    <row r="13" spans="1:7">
      <c r="A13" s="52"/>
      <c r="B13" s="53"/>
      <c r="C13" s="54"/>
      <c r="D13" s="55"/>
      <c r="E13" s="58"/>
      <c r="F13" s="52"/>
      <c r="G13" s="31" t="s">
        <v>285</v>
      </c>
    </row>
    <row r="14" spans="1:7" ht="41" hidden="1">
      <c r="A14" s="52"/>
      <c r="B14" s="53"/>
      <c r="C14" s="54"/>
      <c r="D14" s="55"/>
      <c r="E14" s="58"/>
      <c r="F14" s="52"/>
      <c r="G14" s="69" t="s">
        <v>164</v>
      </c>
    </row>
    <row r="15" spans="1:7" hidden="1">
      <c r="A15" s="52"/>
      <c r="B15" s="53"/>
      <c r="C15" s="54"/>
      <c r="D15" s="55"/>
      <c r="E15" s="58"/>
      <c r="F15" s="52"/>
      <c r="G15" s="59" t="s">
        <v>173</v>
      </c>
    </row>
    <row r="16" spans="1:7" hidden="1">
      <c r="A16" s="52"/>
      <c r="B16" s="53"/>
      <c r="C16" s="54"/>
      <c r="D16" s="55"/>
      <c r="E16" s="58"/>
      <c r="F16" s="52"/>
      <c r="G16" s="27" t="s">
        <v>173</v>
      </c>
    </row>
    <row r="17" spans="1:7" hidden="1">
      <c r="A17" s="52"/>
      <c r="B17" s="53"/>
      <c r="C17" s="54"/>
      <c r="D17" s="55"/>
      <c r="E17" s="58"/>
      <c r="F17" s="52"/>
      <c r="G17" s="27" t="s">
        <v>173</v>
      </c>
    </row>
    <row r="18" spans="1:7" hidden="1">
      <c r="A18" s="52"/>
      <c r="B18" s="53"/>
      <c r="C18" s="54"/>
      <c r="D18" s="55"/>
      <c r="E18" s="58"/>
      <c r="F18" s="52"/>
      <c r="G18" s="28" t="s">
        <v>165</v>
      </c>
    </row>
    <row r="19" spans="1:7" hidden="1">
      <c r="A19" s="52"/>
      <c r="B19" s="53"/>
      <c r="C19" s="54"/>
      <c r="D19" s="55"/>
      <c r="E19" s="58"/>
      <c r="F19" s="52"/>
      <c r="G19" s="70" t="s">
        <v>166</v>
      </c>
    </row>
    <row r="20" spans="1:7" hidden="1">
      <c r="A20" s="52"/>
      <c r="B20" s="53"/>
      <c r="C20" s="54"/>
      <c r="D20" s="55"/>
      <c r="E20" s="58"/>
      <c r="F20" s="52"/>
      <c r="G20" s="70" t="s">
        <v>167</v>
      </c>
    </row>
    <row r="21" spans="1:7" hidden="1">
      <c r="A21" s="52"/>
      <c r="B21" s="53"/>
      <c r="C21" s="54"/>
      <c r="D21" s="55"/>
      <c r="E21" s="58"/>
      <c r="F21" s="52"/>
      <c r="G21" s="70" t="s">
        <v>168</v>
      </c>
    </row>
    <row r="22" spans="1:7" ht="23">
      <c r="A22" s="62"/>
      <c r="B22" s="63" t="s">
        <v>6</v>
      </c>
      <c r="C22" s="54"/>
      <c r="D22" s="62"/>
      <c r="E22" s="64">
        <f>SUM(E5:E21)</f>
        <v>6490</v>
      </c>
      <c r="F22" s="62"/>
      <c r="G22" s="2"/>
    </row>
    <row r="23" spans="1:7" ht="24.5">
      <c r="A23" s="62"/>
      <c r="B23" s="63" t="s">
        <v>34</v>
      </c>
      <c r="C23" s="54"/>
      <c r="D23" s="62"/>
      <c r="E23" s="65">
        <f>+E22*7/100</f>
        <v>454.3</v>
      </c>
      <c r="F23" s="62"/>
      <c r="G23" s="2"/>
    </row>
    <row r="24" spans="1:7" ht="24.5">
      <c r="A24" s="62"/>
      <c r="B24" s="66" t="s">
        <v>35</v>
      </c>
      <c r="C24" s="62"/>
      <c r="D24" s="62"/>
      <c r="E24" s="67">
        <f>SUM(E22:E23)</f>
        <v>6944.3</v>
      </c>
      <c r="F24" s="62"/>
      <c r="G24" s="62"/>
    </row>
    <row r="25" spans="1:7" ht="24.5">
      <c r="A25" s="62"/>
      <c r="B25" s="66"/>
      <c r="C25" s="62"/>
      <c r="D25" s="62"/>
      <c r="E25" s="67"/>
      <c r="F25" s="62"/>
      <c r="G25" s="62"/>
    </row>
    <row r="26" spans="1:7" ht="33">
      <c r="A26" s="62"/>
      <c r="B26" s="68" t="s">
        <v>36</v>
      </c>
      <c r="C26" s="197" t="str">
        <f>BAHTTEXT(E24)</f>
        <v>หกพันเก้าร้อยสี่สิบสี่บาทสามสิบสตางค์</v>
      </c>
      <c r="D26" s="197"/>
      <c r="E26" s="197"/>
      <c r="F26" s="197"/>
      <c r="G26" s="62"/>
    </row>
  </sheetData>
  <mergeCells count="7">
    <mergeCell ref="G2:G4"/>
    <mergeCell ref="C26:F26"/>
    <mergeCell ref="A2:A4"/>
    <mergeCell ref="B2:B4"/>
    <mergeCell ref="C2:C4"/>
    <mergeCell ref="D2:E2"/>
    <mergeCell ref="F2:F4"/>
  </mergeCells>
  <pageMargins left="0.7" right="0.7" top="0.75" bottom="0.75" header="0.3" footer="0.3"/>
  <pageSetup paperSize="9" scale="57"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F95F-53ED-4DD7-B201-6F47EB0D402A}">
  <sheetPr>
    <pageSetUpPr fitToPage="1"/>
  </sheetPr>
  <dimension ref="A2:G26"/>
  <sheetViews>
    <sheetView zoomScaleNormal="100" workbookViewId="0">
      <selection activeCell="B7" sqref="B7"/>
    </sheetView>
  </sheetViews>
  <sheetFormatPr defaultColWidth="9.08203125" defaultRowHeight="20.5"/>
  <cols>
    <col min="1" max="1" width="9.08203125" style="1"/>
    <col min="2" max="2" width="56.33203125" style="1" customWidth="1"/>
    <col min="3" max="3" width="6.9140625" style="1" customWidth="1"/>
    <col min="4" max="5" width="15.58203125" style="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ht="24">
      <c r="A5" s="52">
        <v>1</v>
      </c>
      <c r="B5" s="144" t="s">
        <v>518</v>
      </c>
      <c r="C5" s="139" t="s">
        <v>522</v>
      </c>
      <c r="D5" s="141">
        <v>120</v>
      </c>
      <c r="E5" s="138">
        <f>+C5*D5</f>
        <v>4800</v>
      </c>
      <c r="F5" s="52">
        <v>10</v>
      </c>
      <c r="G5" s="57" t="s">
        <v>161</v>
      </c>
    </row>
    <row r="6" spans="1:7" ht="48">
      <c r="A6" s="52"/>
      <c r="B6" s="143" t="s">
        <v>520</v>
      </c>
      <c r="C6" s="140"/>
      <c r="D6" s="141"/>
      <c r="E6" s="134"/>
      <c r="F6" s="52"/>
      <c r="G6" s="15" t="s">
        <v>259</v>
      </c>
    </row>
    <row r="7" spans="1:7">
      <c r="A7" s="52"/>
      <c r="B7" s="27" t="s">
        <v>519</v>
      </c>
      <c r="C7" s="140"/>
      <c r="D7" s="141"/>
      <c r="E7" s="134"/>
      <c r="F7" s="52"/>
      <c r="G7" s="31" t="s">
        <v>515</v>
      </c>
    </row>
    <row r="8" spans="1:7">
      <c r="A8" s="52"/>
      <c r="B8" s="145" t="s">
        <v>521</v>
      </c>
      <c r="C8" s="140"/>
      <c r="D8" s="141"/>
      <c r="E8" s="134"/>
      <c r="F8" s="52"/>
      <c r="G8" s="15" t="s">
        <v>509</v>
      </c>
    </row>
    <row r="9" spans="1:7">
      <c r="A9" s="52"/>
      <c r="B9" s="142"/>
      <c r="C9" s="139"/>
      <c r="D9" s="141"/>
      <c r="E9" s="138"/>
      <c r="F9" s="52"/>
      <c r="G9" s="27"/>
    </row>
    <row r="10" spans="1:7">
      <c r="A10" s="52"/>
      <c r="B10" s="75"/>
      <c r="C10" s="54"/>
      <c r="D10" s="55"/>
      <c r="E10" s="58"/>
      <c r="F10" s="52"/>
      <c r="G10" s="60" t="s">
        <v>162</v>
      </c>
    </row>
    <row r="11" spans="1:7">
      <c r="A11" s="52"/>
      <c r="B11" s="75"/>
      <c r="C11" s="54"/>
      <c r="D11" s="55"/>
      <c r="E11" s="58"/>
      <c r="F11" s="52"/>
      <c r="G11" s="15" t="s">
        <v>31</v>
      </c>
    </row>
    <row r="12" spans="1:7">
      <c r="A12" s="52"/>
      <c r="B12" s="53"/>
      <c r="C12" s="54"/>
      <c r="D12" s="55"/>
      <c r="E12" s="58"/>
      <c r="F12" s="52"/>
      <c r="G12" s="15" t="s">
        <v>28</v>
      </c>
    </row>
    <row r="13" spans="1:7">
      <c r="A13" s="52"/>
      <c r="B13" s="53"/>
      <c r="C13" s="54"/>
      <c r="D13" s="55"/>
      <c r="E13" s="58"/>
      <c r="F13" s="52"/>
      <c r="G13" s="31" t="s">
        <v>285</v>
      </c>
    </row>
    <row r="14" spans="1:7" ht="41" hidden="1">
      <c r="A14" s="52"/>
      <c r="B14" s="53"/>
      <c r="C14" s="54"/>
      <c r="D14" s="55"/>
      <c r="E14" s="58"/>
      <c r="F14" s="52"/>
      <c r="G14" s="69" t="s">
        <v>164</v>
      </c>
    </row>
    <row r="15" spans="1:7" hidden="1">
      <c r="A15" s="52"/>
      <c r="B15" s="53"/>
      <c r="C15" s="54"/>
      <c r="D15" s="55"/>
      <c r="E15" s="58"/>
      <c r="F15" s="52"/>
      <c r="G15" s="59" t="s">
        <v>173</v>
      </c>
    </row>
    <row r="16" spans="1:7" hidden="1">
      <c r="A16" s="52"/>
      <c r="B16" s="53"/>
      <c r="C16" s="54"/>
      <c r="D16" s="55"/>
      <c r="E16" s="58"/>
      <c r="F16" s="52"/>
      <c r="G16" s="27" t="s">
        <v>173</v>
      </c>
    </row>
    <row r="17" spans="1:7" hidden="1">
      <c r="A17" s="52"/>
      <c r="B17" s="53"/>
      <c r="C17" s="54"/>
      <c r="D17" s="55"/>
      <c r="E17" s="58"/>
      <c r="F17" s="52"/>
      <c r="G17" s="27" t="s">
        <v>173</v>
      </c>
    </row>
    <row r="18" spans="1:7" hidden="1">
      <c r="A18" s="52"/>
      <c r="B18" s="53"/>
      <c r="C18" s="54"/>
      <c r="D18" s="55"/>
      <c r="E18" s="58"/>
      <c r="F18" s="52"/>
      <c r="G18" s="28" t="s">
        <v>165</v>
      </c>
    </row>
    <row r="19" spans="1:7" hidden="1">
      <c r="A19" s="52"/>
      <c r="B19" s="53"/>
      <c r="C19" s="54"/>
      <c r="D19" s="55"/>
      <c r="E19" s="58"/>
      <c r="F19" s="52"/>
      <c r="G19" s="70" t="s">
        <v>166</v>
      </c>
    </row>
    <row r="20" spans="1:7" hidden="1">
      <c r="A20" s="52"/>
      <c r="B20" s="53"/>
      <c r="C20" s="54"/>
      <c r="D20" s="55"/>
      <c r="E20" s="58"/>
      <c r="F20" s="52"/>
      <c r="G20" s="70" t="s">
        <v>167</v>
      </c>
    </row>
    <row r="21" spans="1:7" hidden="1">
      <c r="A21" s="52"/>
      <c r="B21" s="53"/>
      <c r="C21" s="54"/>
      <c r="D21" s="55"/>
      <c r="E21" s="58"/>
      <c r="F21" s="52"/>
      <c r="G21" s="70" t="s">
        <v>168</v>
      </c>
    </row>
    <row r="22" spans="1:7" ht="23">
      <c r="A22" s="62"/>
      <c r="B22" s="63" t="s">
        <v>6</v>
      </c>
      <c r="C22" s="54"/>
      <c r="D22" s="62"/>
      <c r="E22" s="64">
        <f>SUM(E5:E21)</f>
        <v>4800</v>
      </c>
      <c r="F22" s="62"/>
      <c r="G22" s="2"/>
    </row>
    <row r="23" spans="1:7" ht="24.5">
      <c r="A23" s="62"/>
      <c r="B23" s="63" t="s">
        <v>34</v>
      </c>
      <c r="C23" s="54"/>
      <c r="D23" s="62"/>
      <c r="E23" s="65">
        <f>+E22*7/100</f>
        <v>336</v>
      </c>
      <c r="F23" s="62"/>
      <c r="G23" s="2"/>
    </row>
    <row r="24" spans="1:7" ht="24.5">
      <c r="A24" s="62"/>
      <c r="B24" s="66" t="s">
        <v>35</v>
      </c>
      <c r="C24" s="62"/>
      <c r="D24" s="62"/>
      <c r="E24" s="67">
        <f>SUM(E22:E23)</f>
        <v>5136</v>
      </c>
      <c r="F24" s="62"/>
      <c r="G24" s="62"/>
    </row>
    <row r="25" spans="1:7" ht="24.5">
      <c r="A25" s="62"/>
      <c r="B25" s="66"/>
      <c r="C25" s="62"/>
      <c r="D25" s="62"/>
      <c r="E25" s="67"/>
      <c r="F25" s="62"/>
      <c r="G25" s="62"/>
    </row>
    <row r="26" spans="1:7" ht="33">
      <c r="A26" s="62"/>
      <c r="B26" s="68" t="s">
        <v>36</v>
      </c>
      <c r="C26" s="197" t="str">
        <f>BAHTTEXT(E24)</f>
        <v>ห้าพันหนึ่งร้อยสามสิบหกบาทถ้วน</v>
      </c>
      <c r="D26" s="197"/>
      <c r="E26" s="197"/>
      <c r="F26" s="197"/>
      <c r="G26" s="62"/>
    </row>
  </sheetData>
  <mergeCells count="7">
    <mergeCell ref="G2:G4"/>
    <mergeCell ref="C26:F26"/>
    <mergeCell ref="A2:A4"/>
    <mergeCell ref="B2:B4"/>
    <mergeCell ref="C2:C4"/>
    <mergeCell ref="D2:E2"/>
    <mergeCell ref="F2:F4"/>
  </mergeCells>
  <pageMargins left="0.7" right="0.7" top="0.75" bottom="0.75" header="0.3" footer="0.3"/>
  <pageSetup paperSize="9" scale="57"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24C4-AEA2-4939-A909-850AF34F8302}">
  <sheetPr>
    <pageSetUpPr fitToPage="1"/>
  </sheetPr>
  <dimension ref="A2:G26"/>
  <sheetViews>
    <sheetView zoomScaleNormal="100" workbookViewId="0">
      <selection activeCell="B8" sqref="B8"/>
    </sheetView>
  </sheetViews>
  <sheetFormatPr defaultColWidth="9.08203125" defaultRowHeight="20.5"/>
  <cols>
    <col min="1" max="1" width="9.08203125" style="1"/>
    <col min="2" max="2" width="56.33203125" style="1" customWidth="1"/>
    <col min="3" max="3" width="6.9140625" style="1" customWidth="1"/>
    <col min="4" max="5" width="15.58203125" style="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142" t="s">
        <v>510</v>
      </c>
      <c r="C5" s="139">
        <v>2</v>
      </c>
      <c r="D5" s="141">
        <v>2000</v>
      </c>
      <c r="E5" s="138">
        <f>+C5*D5</f>
        <v>4000</v>
      </c>
      <c r="F5" s="52">
        <v>5</v>
      </c>
      <c r="G5" s="57" t="s">
        <v>161</v>
      </c>
    </row>
    <row r="6" spans="1:7">
      <c r="A6" s="52"/>
      <c r="B6" s="75" t="s">
        <v>511</v>
      </c>
      <c r="C6" s="140"/>
      <c r="D6" s="141"/>
      <c r="E6" s="134"/>
      <c r="F6" s="52"/>
      <c r="G6" s="15" t="s">
        <v>259</v>
      </c>
    </row>
    <row r="7" spans="1:7">
      <c r="A7" s="52"/>
      <c r="B7" s="75" t="s">
        <v>512</v>
      </c>
      <c r="C7" s="140"/>
      <c r="D7" s="141"/>
      <c r="E7" s="134"/>
      <c r="F7" s="52"/>
      <c r="G7" s="31" t="s">
        <v>515</v>
      </c>
    </row>
    <row r="8" spans="1:7">
      <c r="A8" s="52"/>
      <c r="B8" s="72"/>
      <c r="C8" s="140"/>
      <c r="D8" s="141"/>
      <c r="E8" s="134"/>
      <c r="F8" s="52"/>
      <c r="G8" s="15" t="s">
        <v>509</v>
      </c>
    </row>
    <row r="9" spans="1:7">
      <c r="A9" s="52">
        <v>2</v>
      </c>
      <c r="B9" s="142" t="s">
        <v>510</v>
      </c>
      <c r="C9" s="139">
        <v>2</v>
      </c>
      <c r="D9" s="141">
        <v>2000</v>
      </c>
      <c r="E9" s="138">
        <f>+C9*D9</f>
        <v>4000</v>
      </c>
      <c r="F9" s="52">
        <v>5</v>
      </c>
      <c r="G9" s="27"/>
    </row>
    <row r="10" spans="1:7">
      <c r="A10" s="52"/>
      <c r="B10" s="75" t="s">
        <v>513</v>
      </c>
      <c r="C10" s="54"/>
      <c r="D10" s="55"/>
      <c r="E10" s="58"/>
      <c r="F10" s="52"/>
      <c r="G10" s="60" t="s">
        <v>162</v>
      </c>
    </row>
    <row r="11" spans="1:7">
      <c r="A11" s="52"/>
      <c r="B11" s="75" t="s">
        <v>514</v>
      </c>
      <c r="C11" s="54"/>
      <c r="D11" s="55"/>
      <c r="E11" s="58"/>
      <c r="F11" s="52"/>
      <c r="G11" s="15" t="s">
        <v>31</v>
      </c>
    </row>
    <row r="12" spans="1:7">
      <c r="A12" s="52"/>
      <c r="B12" s="53"/>
      <c r="C12" s="54"/>
      <c r="D12" s="55"/>
      <c r="E12" s="58"/>
      <c r="F12" s="52"/>
      <c r="G12" s="15" t="s">
        <v>28</v>
      </c>
    </row>
    <row r="13" spans="1:7">
      <c r="A13" s="52"/>
      <c r="B13" s="53"/>
      <c r="C13" s="54"/>
      <c r="D13" s="55"/>
      <c r="E13" s="58"/>
      <c r="F13" s="52"/>
      <c r="G13" s="31" t="s">
        <v>285</v>
      </c>
    </row>
    <row r="14" spans="1:7" ht="41" hidden="1">
      <c r="A14" s="52"/>
      <c r="B14" s="53"/>
      <c r="C14" s="54"/>
      <c r="D14" s="55"/>
      <c r="E14" s="58"/>
      <c r="F14" s="52"/>
      <c r="G14" s="69" t="s">
        <v>164</v>
      </c>
    </row>
    <row r="15" spans="1:7" hidden="1">
      <c r="A15" s="52"/>
      <c r="B15" s="53"/>
      <c r="C15" s="54"/>
      <c r="D15" s="55"/>
      <c r="E15" s="58"/>
      <c r="F15" s="52"/>
      <c r="G15" s="59" t="s">
        <v>173</v>
      </c>
    </row>
    <row r="16" spans="1:7" hidden="1">
      <c r="A16" s="52"/>
      <c r="B16" s="53"/>
      <c r="C16" s="54"/>
      <c r="D16" s="55"/>
      <c r="E16" s="58"/>
      <c r="F16" s="52"/>
      <c r="G16" s="27" t="s">
        <v>173</v>
      </c>
    </row>
    <row r="17" spans="1:7" hidden="1">
      <c r="A17" s="52"/>
      <c r="B17" s="53"/>
      <c r="C17" s="54"/>
      <c r="D17" s="55"/>
      <c r="E17" s="58"/>
      <c r="F17" s="52"/>
      <c r="G17" s="27" t="s">
        <v>173</v>
      </c>
    </row>
    <row r="18" spans="1:7" hidden="1">
      <c r="A18" s="52"/>
      <c r="B18" s="53"/>
      <c r="C18" s="54"/>
      <c r="D18" s="55"/>
      <c r="E18" s="58"/>
      <c r="F18" s="52"/>
      <c r="G18" s="28" t="s">
        <v>165</v>
      </c>
    </row>
    <row r="19" spans="1:7" hidden="1">
      <c r="A19" s="52"/>
      <c r="B19" s="53"/>
      <c r="C19" s="54"/>
      <c r="D19" s="55"/>
      <c r="E19" s="58"/>
      <c r="F19" s="52"/>
      <c r="G19" s="70" t="s">
        <v>166</v>
      </c>
    </row>
    <row r="20" spans="1:7" hidden="1">
      <c r="A20" s="52"/>
      <c r="B20" s="53"/>
      <c r="C20" s="54"/>
      <c r="D20" s="55"/>
      <c r="E20" s="58"/>
      <c r="F20" s="52"/>
      <c r="G20" s="70" t="s">
        <v>167</v>
      </c>
    </row>
    <row r="21" spans="1:7" hidden="1">
      <c r="A21" s="52"/>
      <c r="B21" s="53"/>
      <c r="C21" s="54"/>
      <c r="D21" s="55"/>
      <c r="E21" s="58"/>
      <c r="F21" s="52"/>
      <c r="G21" s="70" t="s">
        <v>168</v>
      </c>
    </row>
    <row r="22" spans="1:7" ht="23">
      <c r="A22" s="62"/>
      <c r="B22" s="63" t="s">
        <v>6</v>
      </c>
      <c r="C22" s="54"/>
      <c r="D22" s="62"/>
      <c r="E22" s="64">
        <f>SUM(E5:E21)</f>
        <v>8000</v>
      </c>
      <c r="F22" s="62"/>
      <c r="G22" s="2"/>
    </row>
    <row r="23" spans="1:7" ht="24.5">
      <c r="A23" s="62"/>
      <c r="B23" s="63" t="s">
        <v>34</v>
      </c>
      <c r="C23" s="54"/>
      <c r="D23" s="62"/>
      <c r="E23" s="65">
        <f>E22*0%</f>
        <v>0</v>
      </c>
      <c r="F23" s="62"/>
      <c r="G23" s="2"/>
    </row>
    <row r="24" spans="1:7" ht="24.5">
      <c r="A24" s="62"/>
      <c r="B24" s="66" t="s">
        <v>35</v>
      </c>
      <c r="C24" s="62"/>
      <c r="D24" s="62"/>
      <c r="E24" s="67">
        <f>SUM(E22:E23)</f>
        <v>8000</v>
      </c>
      <c r="F24" s="62"/>
      <c r="G24" s="62"/>
    </row>
    <row r="25" spans="1:7" ht="24.5">
      <c r="A25" s="62"/>
      <c r="B25" s="66"/>
      <c r="C25" s="62"/>
      <c r="D25" s="62"/>
      <c r="E25" s="67"/>
      <c r="F25" s="62"/>
      <c r="G25" s="62"/>
    </row>
    <row r="26" spans="1:7" ht="33">
      <c r="A26" s="62"/>
      <c r="B26" s="68" t="s">
        <v>36</v>
      </c>
      <c r="C26" s="197" t="str">
        <f>BAHTTEXT(E24)</f>
        <v>แปดพันบาทถ้วน</v>
      </c>
      <c r="D26" s="197"/>
      <c r="E26" s="197"/>
      <c r="F26" s="197"/>
      <c r="G26" s="62"/>
    </row>
  </sheetData>
  <mergeCells count="7">
    <mergeCell ref="G2:G4"/>
    <mergeCell ref="C26:F26"/>
    <mergeCell ref="A2:A4"/>
    <mergeCell ref="B2:B4"/>
    <mergeCell ref="C2:C4"/>
    <mergeCell ref="D2:E2"/>
    <mergeCell ref="F2:F4"/>
  </mergeCells>
  <pageMargins left="0.7" right="0.7" top="0.75" bottom="0.75" header="0.3" footer="0.3"/>
  <pageSetup paperSize="9" scale="57"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0B00-6F57-418B-AAAE-EBB31EE6556E}">
  <sheetPr>
    <pageSetUpPr fitToPage="1"/>
  </sheetPr>
  <dimension ref="A2:G26"/>
  <sheetViews>
    <sheetView zoomScaleNormal="100" workbookViewId="0">
      <selection activeCell="B9" sqref="B9"/>
    </sheetView>
  </sheetViews>
  <sheetFormatPr defaultColWidth="9.08203125" defaultRowHeight="20.5"/>
  <cols>
    <col min="1" max="1" width="9.08203125" style="1"/>
    <col min="2" max="2" width="56.33203125" style="1" customWidth="1"/>
    <col min="3" max="3" width="6.9140625" style="1" customWidth="1"/>
    <col min="4" max="4" width="17.1640625" style="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2" t="s">
        <v>284</v>
      </c>
      <c r="C5" s="54" t="s">
        <v>482</v>
      </c>
      <c r="D5" s="133" t="s">
        <v>507</v>
      </c>
      <c r="E5" s="134">
        <v>3600</v>
      </c>
      <c r="F5" s="52">
        <v>30</v>
      </c>
      <c r="G5" s="57" t="s">
        <v>161</v>
      </c>
    </row>
    <row r="6" spans="1:7" ht="41">
      <c r="A6" s="52"/>
      <c r="B6" s="72" t="s">
        <v>506</v>
      </c>
      <c r="C6" s="54"/>
      <c r="D6" s="55"/>
      <c r="E6" s="58"/>
      <c r="F6" s="52"/>
      <c r="G6" s="15" t="s">
        <v>509</v>
      </c>
    </row>
    <row r="7" spans="1:7">
      <c r="A7" s="52"/>
      <c r="B7" s="72" t="s">
        <v>508</v>
      </c>
      <c r="C7" s="54"/>
      <c r="D7" s="55"/>
      <c r="E7" s="58"/>
      <c r="F7" s="52"/>
      <c r="G7" s="31"/>
    </row>
    <row r="8" spans="1:7">
      <c r="A8" s="52"/>
      <c r="B8" s="72"/>
      <c r="C8" s="54"/>
      <c r="D8" s="55"/>
      <c r="E8" s="58"/>
      <c r="F8" s="52"/>
      <c r="G8" s="31"/>
    </row>
    <row r="9" spans="1:7">
      <c r="A9" s="52"/>
      <c r="B9" s="75"/>
      <c r="C9" s="54"/>
      <c r="D9" s="55"/>
      <c r="E9" s="56"/>
      <c r="F9" s="52"/>
      <c r="G9" s="27"/>
    </row>
    <row r="10" spans="1:7">
      <c r="A10" s="52"/>
      <c r="B10" s="72"/>
      <c r="C10" s="54"/>
      <c r="D10" s="55"/>
      <c r="E10" s="58"/>
      <c r="F10" s="52"/>
      <c r="G10" s="60" t="s">
        <v>162</v>
      </c>
    </row>
    <row r="11" spans="1:7">
      <c r="A11" s="52"/>
      <c r="B11" s="72"/>
      <c r="C11" s="54"/>
      <c r="D11" s="55"/>
      <c r="E11" s="58"/>
      <c r="F11" s="52"/>
      <c r="G11" s="15" t="s">
        <v>29</v>
      </c>
    </row>
    <row r="12" spans="1:7">
      <c r="A12" s="52"/>
      <c r="B12" s="53"/>
      <c r="C12" s="54"/>
      <c r="D12" s="55"/>
      <c r="E12" s="58"/>
      <c r="F12" s="52"/>
      <c r="G12" s="31"/>
    </row>
    <row r="13" spans="1:7">
      <c r="A13" s="52"/>
      <c r="B13" s="53"/>
      <c r="C13" s="54"/>
      <c r="D13" s="55"/>
      <c r="E13" s="58"/>
      <c r="F13" s="52"/>
      <c r="G13" s="31"/>
    </row>
    <row r="14" spans="1:7" ht="41" hidden="1">
      <c r="A14" s="52"/>
      <c r="B14" s="53"/>
      <c r="C14" s="54"/>
      <c r="D14" s="55"/>
      <c r="E14" s="58"/>
      <c r="F14" s="52"/>
      <c r="G14" s="69" t="s">
        <v>164</v>
      </c>
    </row>
    <row r="15" spans="1:7" hidden="1">
      <c r="A15" s="52"/>
      <c r="B15" s="53"/>
      <c r="C15" s="54"/>
      <c r="D15" s="55"/>
      <c r="E15" s="58"/>
      <c r="F15" s="52"/>
      <c r="G15" s="59" t="s">
        <v>173</v>
      </c>
    </row>
    <row r="16" spans="1:7" hidden="1">
      <c r="A16" s="52"/>
      <c r="B16" s="53"/>
      <c r="C16" s="54"/>
      <c r="D16" s="55"/>
      <c r="E16" s="58"/>
      <c r="F16" s="52"/>
      <c r="G16" s="27" t="s">
        <v>173</v>
      </c>
    </row>
    <row r="17" spans="1:7" hidden="1">
      <c r="A17" s="52"/>
      <c r="B17" s="53"/>
      <c r="C17" s="54"/>
      <c r="D17" s="55"/>
      <c r="E17" s="58"/>
      <c r="F17" s="52"/>
      <c r="G17" s="27" t="s">
        <v>173</v>
      </c>
    </row>
    <row r="18" spans="1:7" hidden="1">
      <c r="A18" s="52"/>
      <c r="B18" s="53"/>
      <c r="C18" s="54"/>
      <c r="D18" s="55"/>
      <c r="E18" s="58"/>
      <c r="F18" s="52"/>
      <c r="G18" s="28" t="s">
        <v>165</v>
      </c>
    </row>
    <row r="19" spans="1:7" hidden="1">
      <c r="A19" s="52"/>
      <c r="B19" s="53"/>
      <c r="C19" s="54"/>
      <c r="D19" s="55"/>
      <c r="E19" s="58"/>
      <c r="F19" s="52"/>
      <c r="G19" s="70" t="s">
        <v>166</v>
      </c>
    </row>
    <row r="20" spans="1:7" hidden="1">
      <c r="A20" s="52"/>
      <c r="B20" s="53"/>
      <c r="C20" s="54"/>
      <c r="D20" s="55"/>
      <c r="E20" s="58"/>
      <c r="F20" s="52"/>
      <c r="G20" s="70" t="s">
        <v>167</v>
      </c>
    </row>
    <row r="21" spans="1:7" hidden="1">
      <c r="A21" s="52"/>
      <c r="B21" s="53"/>
      <c r="C21" s="54"/>
      <c r="D21" s="55"/>
      <c r="E21" s="58"/>
      <c r="F21" s="52"/>
      <c r="G21" s="70" t="s">
        <v>168</v>
      </c>
    </row>
    <row r="22" spans="1:7" ht="23">
      <c r="A22" s="62"/>
      <c r="B22" s="63" t="s">
        <v>6</v>
      </c>
      <c r="C22" s="54"/>
      <c r="D22" s="62"/>
      <c r="E22" s="64">
        <f>SUM(E5:E21)</f>
        <v>3600</v>
      </c>
      <c r="F22" s="62"/>
      <c r="G22" s="2"/>
    </row>
    <row r="23" spans="1:7" ht="24.5">
      <c r="A23" s="62"/>
      <c r="B23" s="63" t="s">
        <v>34</v>
      </c>
      <c r="C23" s="54"/>
      <c r="D23" s="62"/>
      <c r="E23" s="65">
        <f>E22*0%</f>
        <v>0</v>
      </c>
      <c r="F23" s="62"/>
      <c r="G23" s="2"/>
    </row>
    <row r="24" spans="1:7" ht="24.5">
      <c r="A24" s="62"/>
      <c r="B24" s="66" t="s">
        <v>35</v>
      </c>
      <c r="C24" s="62"/>
      <c r="D24" s="62"/>
      <c r="E24" s="67">
        <f>SUM(E22:E23)</f>
        <v>3600</v>
      </c>
      <c r="F24" s="62"/>
      <c r="G24" s="62"/>
    </row>
    <row r="25" spans="1:7" ht="24.5">
      <c r="A25" s="62"/>
      <c r="B25" s="66"/>
      <c r="C25" s="62"/>
      <c r="D25" s="62"/>
      <c r="E25" s="67"/>
      <c r="F25" s="62"/>
      <c r="G25" s="62"/>
    </row>
    <row r="26" spans="1:7" ht="33">
      <c r="A26" s="62"/>
      <c r="B26" s="68" t="s">
        <v>36</v>
      </c>
      <c r="C26" s="197" t="str">
        <f>BAHTTEXT(E24)</f>
        <v>สามพันหกร้อยบาทถ้วน</v>
      </c>
      <c r="D26" s="197"/>
      <c r="E26" s="197"/>
      <c r="F26" s="197"/>
      <c r="G26" s="62"/>
    </row>
  </sheetData>
  <mergeCells count="7">
    <mergeCell ref="G2:G4"/>
    <mergeCell ref="C26:F26"/>
    <mergeCell ref="A2:A4"/>
    <mergeCell ref="B2:B4"/>
    <mergeCell ref="C2:C4"/>
    <mergeCell ref="D2:E2"/>
    <mergeCell ref="F2:F4"/>
  </mergeCells>
  <pageMargins left="0.7" right="0.7" top="0.75" bottom="0.75" header="0.3" footer="0.3"/>
  <pageSetup paperSize="9" scale="57"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D23F-F3A7-4BE3-8F2C-A1F9EFB75C16}">
  <dimension ref="A2:K21"/>
  <sheetViews>
    <sheetView zoomScale="85" zoomScaleNormal="85" workbookViewId="0">
      <selection activeCell="E12" sqref="E12"/>
    </sheetView>
  </sheetViews>
  <sheetFormatPr defaultColWidth="9.08203125" defaultRowHeight="20.5"/>
  <cols>
    <col min="1" max="1" width="6.83203125" style="1" customWidth="1"/>
    <col min="2" max="2" width="51.75" style="1" bestFit="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0" width="9.08203125" style="1"/>
    <col min="11" max="11" width="23.4140625" style="1" bestFit="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3">
        <v>1</v>
      </c>
      <c r="B5" s="116" t="s">
        <v>505</v>
      </c>
      <c r="C5" s="34">
        <v>2</v>
      </c>
      <c r="D5" s="35">
        <v>17550</v>
      </c>
      <c r="E5" s="36">
        <f>+C5*D5</f>
        <v>35100</v>
      </c>
      <c r="F5" s="3">
        <v>30</v>
      </c>
      <c r="G5" s="69" t="s">
        <v>51</v>
      </c>
      <c r="K5" s="31" t="s">
        <v>459</v>
      </c>
    </row>
    <row r="6" spans="1:11" ht="25" customHeight="1">
      <c r="A6" s="3"/>
      <c r="B6" s="103"/>
      <c r="C6" s="34"/>
      <c r="D6" s="108"/>
      <c r="E6" s="36"/>
      <c r="F6" s="3"/>
      <c r="G6" s="31" t="s">
        <v>29</v>
      </c>
    </row>
    <row r="7" spans="1:11" ht="25" customHeight="1">
      <c r="A7" s="3"/>
      <c r="B7" s="128"/>
      <c r="C7" s="34"/>
      <c r="D7" s="35"/>
      <c r="E7" s="36"/>
      <c r="F7" s="3"/>
      <c r="G7" s="31"/>
    </row>
    <row r="8" spans="1:11" ht="25" customHeight="1">
      <c r="A8" s="3"/>
      <c r="B8" s="128"/>
      <c r="C8" s="34"/>
      <c r="D8" s="35"/>
      <c r="E8" s="36"/>
      <c r="F8" s="3"/>
      <c r="G8" s="31"/>
    </row>
    <row r="9" spans="1:11">
      <c r="A9" s="10"/>
      <c r="B9" s="128"/>
      <c r="C9" s="34"/>
      <c r="D9" s="35"/>
      <c r="E9" s="36"/>
      <c r="F9" s="3"/>
      <c r="G9" s="31"/>
    </row>
    <row r="10" spans="1:11" ht="25" customHeight="1">
      <c r="A10" s="10"/>
      <c r="B10" s="135"/>
      <c r="C10" s="12"/>
      <c r="D10" s="13"/>
      <c r="E10" s="36"/>
      <c r="F10" s="3"/>
      <c r="G10" s="31"/>
    </row>
    <row r="11" spans="1:11" ht="25" customHeight="1">
      <c r="A11" s="3"/>
      <c r="B11" s="103"/>
      <c r="C11" s="12"/>
      <c r="D11" s="13"/>
      <c r="E11" s="36"/>
      <c r="F11" s="3"/>
      <c r="G11" s="31"/>
    </row>
    <row r="12" spans="1:11" ht="25" customHeight="1">
      <c r="A12" s="3"/>
      <c r="B12" s="103"/>
      <c r="C12" s="12"/>
      <c r="D12" s="13"/>
      <c r="E12" s="36"/>
      <c r="F12" s="3"/>
      <c r="G12" s="31"/>
    </row>
    <row r="13" spans="1:11" ht="25" customHeight="1">
      <c r="A13" s="3"/>
      <c r="B13" s="103"/>
      <c r="C13" s="12"/>
      <c r="D13" s="13"/>
      <c r="E13" s="36"/>
      <c r="F13" s="3"/>
      <c r="G13" s="31"/>
    </row>
    <row r="14" spans="1:11" ht="25" customHeight="1">
      <c r="A14" s="3"/>
      <c r="B14" s="103"/>
      <c r="C14" s="34"/>
      <c r="D14" s="35"/>
      <c r="E14" s="36"/>
      <c r="F14" s="3"/>
      <c r="G14" s="69" t="s">
        <v>463</v>
      </c>
    </row>
    <row r="15" spans="1:11" ht="25" customHeight="1">
      <c r="A15" s="2"/>
      <c r="B15" s="104" t="s">
        <v>6</v>
      </c>
      <c r="C15" s="12"/>
      <c r="D15" s="2"/>
      <c r="E15" s="22">
        <f>+E17*100/107</f>
        <v>32803.738317757008</v>
      </c>
      <c r="F15" s="2"/>
      <c r="G15" s="31" t="s">
        <v>459</v>
      </c>
    </row>
    <row r="16" spans="1:11" ht="25" customHeight="1">
      <c r="A16" s="2"/>
      <c r="B16" s="21" t="s">
        <v>114</v>
      </c>
      <c r="C16" s="12"/>
      <c r="D16" s="2"/>
      <c r="E16" s="22">
        <f>+E15*0.07</f>
        <v>2296.2616822429909</v>
      </c>
      <c r="F16" s="2"/>
      <c r="G16" s="31"/>
      <c r="K16" s="137"/>
    </row>
    <row r="17" spans="1:7" ht="25" customHeight="1">
      <c r="A17" s="2"/>
      <c r="B17" s="104" t="s">
        <v>35</v>
      </c>
      <c r="C17" s="2"/>
      <c r="D17" s="2"/>
      <c r="E17" s="22">
        <f>+SUM(E5:E13)</f>
        <v>35100</v>
      </c>
      <c r="F17" s="2"/>
      <c r="G17" s="2"/>
    </row>
    <row r="18" spans="1:7" ht="25" customHeight="1">
      <c r="A18" s="2"/>
      <c r="B18" s="104"/>
      <c r="C18" s="2"/>
      <c r="D18" s="2"/>
      <c r="E18" s="24"/>
      <c r="F18" s="2"/>
      <c r="G18" s="31"/>
    </row>
    <row r="19" spans="1:7" ht="25" customHeight="1">
      <c r="A19" s="2"/>
      <c r="B19" s="26" t="s">
        <v>36</v>
      </c>
      <c r="C19" s="202" t="str">
        <f>+BAHTTEXT(E17)</f>
        <v>สามหมื่นห้าพันหนึ่งร้อยบาทถ้วน</v>
      </c>
      <c r="D19" s="203"/>
      <c r="E19" s="203"/>
      <c r="F19" s="203"/>
      <c r="G19" s="204"/>
    </row>
    <row r="21" spans="1:7">
      <c r="B21" s="136"/>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2D02-154F-45AB-93C5-255E5E8CC09D}">
  <dimension ref="A2:K26"/>
  <sheetViews>
    <sheetView zoomScale="85" zoomScaleNormal="85" workbookViewId="0">
      <selection activeCell="C24" sqref="C24:G24"/>
    </sheetView>
  </sheetViews>
  <sheetFormatPr defaultColWidth="9.08203125" defaultRowHeight="20.5"/>
  <cols>
    <col min="1" max="1" width="6.83203125" style="1" customWidth="1"/>
    <col min="2" max="2" width="51.75" style="1" bestFit="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ht="25" customHeight="1">
      <c r="A5" s="3">
        <v>1</v>
      </c>
      <c r="B5" s="116" t="s">
        <v>491</v>
      </c>
      <c r="C5" s="34">
        <v>20</v>
      </c>
      <c r="D5" s="35">
        <v>420</v>
      </c>
      <c r="E5" s="36">
        <f>+C5*D5</f>
        <v>8400</v>
      </c>
      <c r="F5" s="3">
        <v>30</v>
      </c>
      <c r="G5" s="29" t="s">
        <v>51</v>
      </c>
      <c r="K5" s="31" t="s">
        <v>459</v>
      </c>
    </row>
    <row r="6" spans="1:11" ht="25" customHeight="1">
      <c r="A6" s="3">
        <v>2</v>
      </c>
      <c r="B6" s="103" t="s">
        <v>492</v>
      </c>
      <c r="C6" s="34">
        <v>15</v>
      </c>
      <c r="D6" s="108">
        <v>858</v>
      </c>
      <c r="E6" s="36">
        <f t="shared" ref="E6:E18" si="0">+C6*D6</f>
        <v>12870</v>
      </c>
      <c r="F6" s="3">
        <v>30</v>
      </c>
      <c r="G6" s="15" t="s">
        <v>29</v>
      </c>
    </row>
    <row r="7" spans="1:11" ht="25" customHeight="1">
      <c r="A7" s="3">
        <v>3</v>
      </c>
      <c r="B7" s="128" t="s">
        <v>493</v>
      </c>
      <c r="C7" s="34">
        <v>10</v>
      </c>
      <c r="D7" s="35">
        <v>395</v>
      </c>
      <c r="E7" s="36">
        <f t="shared" si="0"/>
        <v>3950</v>
      </c>
      <c r="F7" s="3">
        <v>30</v>
      </c>
      <c r="G7" s="31" t="s">
        <v>238</v>
      </c>
    </row>
    <row r="8" spans="1:11" ht="25" customHeight="1">
      <c r="A8" s="3">
        <v>4</v>
      </c>
      <c r="B8" s="128" t="s">
        <v>494</v>
      </c>
      <c r="C8" s="34">
        <v>50</v>
      </c>
      <c r="D8" s="35">
        <v>76</v>
      </c>
      <c r="E8" s="36">
        <f t="shared" si="0"/>
        <v>3800</v>
      </c>
      <c r="F8" s="3">
        <v>30</v>
      </c>
      <c r="G8" s="31" t="s">
        <v>28</v>
      </c>
    </row>
    <row r="9" spans="1:11" ht="41">
      <c r="A9" s="10">
        <v>5</v>
      </c>
      <c r="B9" s="128" t="s">
        <v>495</v>
      </c>
      <c r="C9" s="34">
        <v>10</v>
      </c>
      <c r="D9" s="35">
        <v>1155</v>
      </c>
      <c r="E9" s="36">
        <f t="shared" si="0"/>
        <v>11550</v>
      </c>
      <c r="F9" s="3">
        <v>30</v>
      </c>
      <c r="G9" s="31"/>
    </row>
    <row r="10" spans="1:11" ht="25" customHeight="1">
      <c r="A10" s="10">
        <v>6</v>
      </c>
      <c r="B10" s="135" t="s">
        <v>496</v>
      </c>
      <c r="C10" s="12">
        <v>25</v>
      </c>
      <c r="D10" s="13">
        <v>435</v>
      </c>
      <c r="E10" s="36">
        <f t="shared" si="0"/>
        <v>10875</v>
      </c>
      <c r="F10" s="3">
        <v>30</v>
      </c>
      <c r="G10" s="31"/>
    </row>
    <row r="11" spans="1:11" ht="25" customHeight="1">
      <c r="A11" s="3">
        <v>7</v>
      </c>
      <c r="B11" s="103" t="s">
        <v>497</v>
      </c>
      <c r="C11" s="12">
        <v>10</v>
      </c>
      <c r="D11" s="13">
        <v>1380</v>
      </c>
      <c r="E11" s="36">
        <f t="shared" si="0"/>
        <v>13800</v>
      </c>
      <c r="F11" s="3">
        <v>30</v>
      </c>
      <c r="G11" s="31"/>
    </row>
    <row r="12" spans="1:11" ht="25" customHeight="1">
      <c r="A12" s="3">
        <v>8</v>
      </c>
      <c r="B12" s="103" t="s">
        <v>498</v>
      </c>
      <c r="C12" s="12">
        <v>6</v>
      </c>
      <c r="D12" s="13">
        <v>1275</v>
      </c>
      <c r="E12" s="36">
        <f t="shared" si="0"/>
        <v>7650</v>
      </c>
      <c r="F12" s="3">
        <v>30</v>
      </c>
      <c r="G12" s="31"/>
    </row>
    <row r="13" spans="1:11" ht="25" customHeight="1">
      <c r="A13" s="10">
        <v>9</v>
      </c>
      <c r="B13" s="135" t="s">
        <v>499</v>
      </c>
      <c r="C13" s="12">
        <v>10</v>
      </c>
      <c r="D13" s="13">
        <v>620</v>
      </c>
      <c r="E13" s="36">
        <f t="shared" si="0"/>
        <v>6200</v>
      </c>
      <c r="F13" s="3">
        <v>30</v>
      </c>
      <c r="G13" s="31"/>
    </row>
    <row r="14" spans="1:11" ht="25" customHeight="1">
      <c r="A14" s="3">
        <v>10</v>
      </c>
      <c r="B14" s="103" t="s">
        <v>500</v>
      </c>
      <c r="C14" s="12">
        <v>2</v>
      </c>
      <c r="D14" s="13">
        <v>865</v>
      </c>
      <c r="E14" s="36">
        <f t="shared" si="0"/>
        <v>1730</v>
      </c>
      <c r="F14" s="3">
        <v>30</v>
      </c>
      <c r="G14" s="31"/>
    </row>
    <row r="15" spans="1:11" ht="25" customHeight="1">
      <c r="A15" s="3">
        <v>11</v>
      </c>
      <c r="B15" s="103" t="s">
        <v>504</v>
      </c>
      <c r="C15" s="12">
        <v>6</v>
      </c>
      <c r="D15" s="13">
        <v>2090</v>
      </c>
      <c r="E15" s="36">
        <f>+C15*D15</f>
        <v>12540</v>
      </c>
      <c r="F15" s="3">
        <v>30</v>
      </c>
      <c r="G15" s="31"/>
    </row>
    <row r="16" spans="1:11" ht="25" customHeight="1">
      <c r="A16" s="3">
        <v>12</v>
      </c>
      <c r="B16" s="103" t="s">
        <v>501</v>
      </c>
      <c r="C16" s="12">
        <v>20</v>
      </c>
      <c r="D16" s="13">
        <v>75</v>
      </c>
      <c r="E16" s="36">
        <f t="shared" si="0"/>
        <v>1500</v>
      </c>
      <c r="F16" s="3">
        <v>30</v>
      </c>
      <c r="G16" s="31"/>
    </row>
    <row r="17" spans="1:11" ht="25" customHeight="1">
      <c r="A17" s="3">
        <v>13</v>
      </c>
      <c r="B17" s="103" t="s">
        <v>502</v>
      </c>
      <c r="C17" s="12">
        <v>2</v>
      </c>
      <c r="D17" s="13">
        <v>1995</v>
      </c>
      <c r="E17" s="36">
        <f t="shared" si="0"/>
        <v>3990</v>
      </c>
      <c r="F17" s="3">
        <v>30</v>
      </c>
      <c r="G17" s="31"/>
    </row>
    <row r="18" spans="1:11" ht="25" customHeight="1">
      <c r="A18" s="3">
        <v>14</v>
      </c>
      <c r="B18" s="103" t="s">
        <v>503</v>
      </c>
      <c r="C18" s="12">
        <v>8</v>
      </c>
      <c r="D18" s="13">
        <v>315</v>
      </c>
      <c r="E18" s="36">
        <f t="shared" si="0"/>
        <v>2520</v>
      </c>
      <c r="F18" s="3">
        <v>30</v>
      </c>
      <c r="G18" s="31"/>
    </row>
    <row r="19" spans="1:11" ht="25" customHeight="1">
      <c r="A19" s="3"/>
      <c r="B19" s="103"/>
      <c r="C19" s="34"/>
      <c r="D19" s="35"/>
      <c r="E19" s="36"/>
      <c r="F19" s="3"/>
      <c r="G19" s="69" t="s">
        <v>463</v>
      </c>
    </row>
    <row r="20" spans="1:11" ht="25" customHeight="1">
      <c r="A20" s="2"/>
      <c r="B20" s="104" t="s">
        <v>6</v>
      </c>
      <c r="C20" s="12"/>
      <c r="D20" s="2"/>
      <c r="E20" s="22">
        <f>+E22*100/107</f>
        <v>94742.990654205612</v>
      </c>
      <c r="F20" s="2"/>
      <c r="G20" s="31" t="s">
        <v>31</v>
      </c>
    </row>
    <row r="21" spans="1:11" ht="25" customHeight="1">
      <c r="A21" s="2"/>
      <c r="B21" s="21" t="s">
        <v>114</v>
      </c>
      <c r="C21" s="12"/>
      <c r="D21" s="2"/>
      <c r="E21" s="22">
        <f>+E20*0.07</f>
        <v>6632.0093457943931</v>
      </c>
      <c r="F21" s="2"/>
      <c r="G21" s="31" t="s">
        <v>32</v>
      </c>
      <c r="K21" s="22"/>
    </row>
    <row r="22" spans="1:11" ht="25" customHeight="1">
      <c r="A22" s="2"/>
      <c r="B22" s="104" t="s">
        <v>35</v>
      </c>
      <c r="C22" s="2"/>
      <c r="D22" s="2"/>
      <c r="E22" s="22">
        <f>+SUM(E5:E18)</f>
        <v>101375</v>
      </c>
      <c r="F22" s="2"/>
      <c r="G22" s="31" t="s">
        <v>33</v>
      </c>
    </row>
    <row r="23" spans="1:11" ht="25" customHeight="1">
      <c r="A23" s="2"/>
      <c r="B23" s="104"/>
      <c r="C23" s="2"/>
      <c r="D23" s="2"/>
      <c r="E23" s="24"/>
      <c r="F23" s="2"/>
      <c r="G23" s="31"/>
    </row>
    <row r="24" spans="1:11" ht="25" customHeight="1">
      <c r="A24" s="2"/>
      <c r="B24" s="26" t="s">
        <v>36</v>
      </c>
      <c r="C24" s="202" t="str">
        <f>BAHTTEXT(E20)</f>
        <v>เก้าหมื่นสี่พันเจ็ดร้อยสี่สิบสองบาทเก้าสิบเก้าสตางค์</v>
      </c>
      <c r="D24" s="203"/>
      <c r="E24" s="203"/>
      <c r="F24" s="203"/>
      <c r="G24" s="204"/>
    </row>
    <row r="26" spans="1:11">
      <c r="B26" s="20"/>
    </row>
  </sheetData>
  <mergeCells count="6">
    <mergeCell ref="C24:G24"/>
    <mergeCell ref="A2:A4"/>
    <mergeCell ref="B2:B4"/>
    <mergeCell ref="C2:C4"/>
    <mergeCell ref="D2:E2"/>
    <mergeCell ref="F2:F4"/>
  </mergeCells>
  <pageMargins left="0.7" right="0.7" top="0.75" bottom="0.75" header="0.3" footer="0.3"/>
  <pageSetup paperSize="9" scale="6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FAF5-E4CB-4815-93B7-497A0974BEEE}">
  <dimension ref="A2:K22"/>
  <sheetViews>
    <sheetView topLeftCell="A3" zoomScale="85" zoomScaleNormal="85" workbookViewId="0">
      <selection activeCell="J11" sqref="J11"/>
    </sheetView>
  </sheetViews>
  <sheetFormatPr defaultColWidth="9.08203125" defaultRowHeight="20.5"/>
  <cols>
    <col min="1" max="1" width="6.83203125" style="1" customWidth="1"/>
    <col min="2" max="2" width="51.8320312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c r="A5" s="3">
        <v>1</v>
      </c>
      <c r="B5" s="116" t="s">
        <v>489</v>
      </c>
      <c r="C5" s="34">
        <v>20</v>
      </c>
      <c r="D5" s="35">
        <v>800</v>
      </c>
      <c r="E5" s="36">
        <f t="shared" ref="E5" si="0">+C5*D5</f>
        <v>16000</v>
      </c>
      <c r="F5" s="3">
        <v>60</v>
      </c>
      <c r="G5" s="29" t="s">
        <v>51</v>
      </c>
      <c r="K5" s="31" t="s">
        <v>459</v>
      </c>
    </row>
    <row r="6" spans="1:11">
      <c r="A6" s="3"/>
      <c r="B6" s="103" t="s">
        <v>490</v>
      </c>
      <c r="C6" s="34"/>
      <c r="D6" s="108"/>
      <c r="E6" s="36"/>
      <c r="F6" s="3"/>
      <c r="G6" s="15" t="s">
        <v>29</v>
      </c>
    </row>
    <row r="7" spans="1:11">
      <c r="A7" s="3"/>
      <c r="B7" s="128"/>
      <c r="C7" s="34"/>
      <c r="D7" s="35"/>
      <c r="E7" s="36"/>
      <c r="F7" s="3"/>
      <c r="G7" s="31" t="s">
        <v>238</v>
      </c>
    </row>
    <row r="8" spans="1:11">
      <c r="A8" s="3"/>
      <c r="B8" s="128"/>
      <c r="C8" s="34"/>
      <c r="D8" s="35"/>
      <c r="E8" s="36"/>
      <c r="F8" s="3"/>
      <c r="G8" s="31" t="s">
        <v>28</v>
      </c>
    </row>
    <row r="9" spans="1:11">
      <c r="A9" s="3"/>
      <c r="B9" s="128"/>
      <c r="C9" s="34"/>
      <c r="D9" s="35"/>
      <c r="E9" s="36"/>
      <c r="F9" s="3"/>
      <c r="G9" s="31"/>
    </row>
    <row r="10" spans="1:11">
      <c r="A10" s="3"/>
      <c r="B10" s="103"/>
      <c r="C10" s="12"/>
      <c r="D10" s="13"/>
      <c r="E10" s="14"/>
      <c r="F10" s="10"/>
      <c r="G10" s="31"/>
    </row>
    <row r="11" spans="1:11">
      <c r="A11" s="3"/>
      <c r="B11" s="103"/>
      <c r="C11" s="12"/>
      <c r="D11" s="13"/>
      <c r="E11" s="14"/>
      <c r="F11" s="10"/>
      <c r="G11" s="31"/>
    </row>
    <row r="12" spans="1:11">
      <c r="A12" s="3"/>
      <c r="B12" s="103"/>
      <c r="C12" s="12"/>
      <c r="D12" s="13"/>
      <c r="E12" s="14"/>
      <c r="F12" s="10"/>
      <c r="G12" s="31"/>
    </row>
    <row r="13" spans="1:11">
      <c r="A13" s="3"/>
      <c r="B13" s="103"/>
      <c r="C13" s="12"/>
      <c r="D13" s="13"/>
      <c r="E13" s="14"/>
      <c r="F13" s="10"/>
      <c r="G13" s="31"/>
    </row>
    <row r="14" spans="1:11">
      <c r="A14" s="3"/>
      <c r="B14" s="103"/>
      <c r="C14" s="12"/>
      <c r="D14" s="13"/>
      <c r="E14" s="14"/>
      <c r="F14" s="10"/>
      <c r="G14" s="31"/>
    </row>
    <row r="15" spans="1:11">
      <c r="A15" s="3"/>
      <c r="B15" s="103"/>
      <c r="C15" s="12"/>
      <c r="D15" s="13"/>
      <c r="E15" s="14"/>
      <c r="F15" s="10"/>
      <c r="G15" s="31"/>
    </row>
    <row r="16" spans="1:11">
      <c r="A16" s="3"/>
      <c r="B16" s="103"/>
      <c r="C16" s="12"/>
      <c r="D16" s="13"/>
      <c r="E16" s="14"/>
      <c r="F16" s="10"/>
      <c r="G16" s="31"/>
    </row>
    <row r="17" spans="1:7">
      <c r="A17" s="3"/>
      <c r="B17" s="103"/>
      <c r="C17" s="34"/>
      <c r="D17" s="35"/>
      <c r="E17" s="36"/>
      <c r="F17" s="3"/>
      <c r="G17" s="69" t="s">
        <v>463</v>
      </c>
    </row>
    <row r="18" spans="1:7" ht="23">
      <c r="A18" s="2"/>
      <c r="B18" s="104" t="s">
        <v>6</v>
      </c>
      <c r="C18" s="12"/>
      <c r="D18" s="2"/>
      <c r="E18" s="22">
        <f>SUM(E5:E17)</f>
        <v>16000</v>
      </c>
      <c r="F18" s="2"/>
      <c r="G18" s="31" t="s">
        <v>31</v>
      </c>
    </row>
    <row r="19" spans="1:7" ht="24.5">
      <c r="A19" s="2"/>
      <c r="B19" s="21" t="s">
        <v>114</v>
      </c>
      <c r="C19" s="12"/>
      <c r="D19" s="2"/>
      <c r="E19" s="23">
        <f>+E18*7%</f>
        <v>1120</v>
      </c>
      <c r="F19" s="2"/>
      <c r="G19" s="31" t="s">
        <v>32</v>
      </c>
    </row>
    <row r="20" spans="1:7" ht="24.5">
      <c r="A20" s="2"/>
      <c r="B20" s="20" t="s">
        <v>35</v>
      </c>
      <c r="C20" s="2"/>
      <c r="D20" s="2"/>
      <c r="E20" s="24">
        <f>SUM(E18:E19)</f>
        <v>17120</v>
      </c>
      <c r="F20" s="2"/>
      <c r="G20" s="31" t="s">
        <v>33</v>
      </c>
    </row>
    <row r="21" spans="1:7" ht="24.5">
      <c r="A21" s="2"/>
      <c r="B21" s="20"/>
      <c r="C21" s="2"/>
      <c r="D21" s="2"/>
      <c r="E21" s="24"/>
      <c r="F21" s="2"/>
      <c r="G21" s="31"/>
    </row>
    <row r="22" spans="1:7" ht="33">
      <c r="A22" s="2"/>
      <c r="B22" s="26" t="s">
        <v>36</v>
      </c>
      <c r="C22" s="202" t="str">
        <f>BAHTTEXT(E20)</f>
        <v>หนึ่งหมื่นเจ็ดพันหนึ่งร้อยยี่สิบบาทถ้วน</v>
      </c>
      <c r="D22" s="203"/>
      <c r="E22" s="203"/>
      <c r="F22" s="203"/>
      <c r="G22" s="204"/>
    </row>
  </sheetData>
  <mergeCells count="6">
    <mergeCell ref="C22:G22"/>
    <mergeCell ref="A2:A4"/>
    <mergeCell ref="B2:B4"/>
    <mergeCell ref="C2:C4"/>
    <mergeCell ref="D2:E2"/>
    <mergeCell ref="F2:F4"/>
  </mergeCells>
  <pageMargins left="0.7" right="0.7" top="0.75" bottom="0.75" header="0.3" footer="0.3"/>
  <pageSetup paperSize="9" scale="6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E905E-B4A3-48FD-B69A-69E6F58FD8C5}">
  <dimension ref="A2:K22"/>
  <sheetViews>
    <sheetView zoomScale="85" zoomScaleNormal="85" workbookViewId="0">
      <selection activeCell="B17" sqref="B17"/>
    </sheetView>
  </sheetViews>
  <sheetFormatPr defaultColWidth="9.08203125" defaultRowHeight="20.5"/>
  <cols>
    <col min="1" max="1" width="6.83203125" style="1" customWidth="1"/>
    <col min="2" max="2" width="51.8320312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0" width="9.08203125" style="1"/>
    <col min="11" max="11" width="60.25" style="1" customWidth="1"/>
    <col min="12" max="16384" width="9.08203125" style="1"/>
  </cols>
  <sheetData>
    <row r="2" spans="1:11" ht="21" customHeight="1">
      <c r="A2" s="183" t="s">
        <v>0</v>
      </c>
      <c r="B2" s="186" t="s">
        <v>1</v>
      </c>
      <c r="C2" s="183" t="s">
        <v>2</v>
      </c>
      <c r="D2" s="189" t="s">
        <v>3</v>
      </c>
      <c r="E2" s="190"/>
      <c r="F2" s="186" t="s">
        <v>7</v>
      </c>
      <c r="G2" s="4" t="s">
        <v>8</v>
      </c>
    </row>
    <row r="3" spans="1:11">
      <c r="A3" s="184"/>
      <c r="B3" s="187"/>
      <c r="C3" s="184"/>
      <c r="D3" s="5" t="s">
        <v>5</v>
      </c>
      <c r="E3" s="6" t="s">
        <v>6</v>
      </c>
      <c r="F3" s="187"/>
      <c r="G3" s="7" t="s">
        <v>9</v>
      </c>
    </row>
    <row r="4" spans="1:11">
      <c r="A4" s="185"/>
      <c r="B4" s="188"/>
      <c r="C4" s="185"/>
      <c r="D4" s="8" t="s">
        <v>4</v>
      </c>
      <c r="E4" s="8" t="s">
        <v>4</v>
      </c>
      <c r="F4" s="188"/>
      <c r="G4" s="9" t="s">
        <v>10</v>
      </c>
    </row>
    <row r="5" spans="1:11">
      <c r="A5" s="3">
        <v>1</v>
      </c>
      <c r="B5" s="116" t="s">
        <v>484</v>
      </c>
      <c r="C5" s="34">
        <v>20</v>
      </c>
      <c r="D5" s="35">
        <v>4500</v>
      </c>
      <c r="E5" s="36">
        <f t="shared" ref="E5:E9" si="0">+C5*D5</f>
        <v>90000</v>
      </c>
      <c r="F5" s="3">
        <v>30</v>
      </c>
      <c r="G5" s="29" t="s">
        <v>51</v>
      </c>
      <c r="K5" s="31" t="s">
        <v>459</v>
      </c>
    </row>
    <row r="6" spans="1:11">
      <c r="A6" s="3">
        <v>2</v>
      </c>
      <c r="B6" s="128" t="s">
        <v>485</v>
      </c>
      <c r="C6" s="34">
        <v>20</v>
      </c>
      <c r="D6" s="108">
        <v>600</v>
      </c>
      <c r="E6" s="36">
        <f t="shared" si="0"/>
        <v>12000</v>
      </c>
      <c r="F6" s="3">
        <v>30</v>
      </c>
      <c r="G6" s="15" t="s">
        <v>29</v>
      </c>
    </row>
    <row r="7" spans="1:11">
      <c r="A7" s="3">
        <v>3</v>
      </c>
      <c r="B7" s="128" t="s">
        <v>486</v>
      </c>
      <c r="C7" s="34">
        <v>20</v>
      </c>
      <c r="D7" s="35">
        <v>600</v>
      </c>
      <c r="E7" s="36">
        <f t="shared" si="0"/>
        <v>12000</v>
      </c>
      <c r="F7" s="3">
        <v>30</v>
      </c>
      <c r="G7" s="31" t="s">
        <v>238</v>
      </c>
    </row>
    <row r="8" spans="1:11">
      <c r="A8" s="3">
        <v>4</v>
      </c>
      <c r="B8" s="128" t="s">
        <v>487</v>
      </c>
      <c r="C8" s="34">
        <v>20</v>
      </c>
      <c r="D8" s="35">
        <v>400</v>
      </c>
      <c r="E8" s="36">
        <f t="shared" si="0"/>
        <v>8000</v>
      </c>
      <c r="F8" s="3">
        <v>30</v>
      </c>
      <c r="G8" s="31" t="s">
        <v>28</v>
      </c>
    </row>
    <row r="9" spans="1:11">
      <c r="A9" s="3">
        <v>5</v>
      </c>
      <c r="B9" s="128" t="s">
        <v>488</v>
      </c>
      <c r="C9" s="34">
        <v>20</v>
      </c>
      <c r="D9" s="35">
        <v>400</v>
      </c>
      <c r="E9" s="36">
        <f t="shared" si="0"/>
        <v>8000</v>
      </c>
      <c r="F9" s="3">
        <v>30</v>
      </c>
      <c r="G9" s="31"/>
    </row>
    <row r="10" spans="1:11">
      <c r="A10" s="3"/>
      <c r="B10" s="103"/>
      <c r="C10" s="12"/>
      <c r="D10" s="13"/>
      <c r="E10" s="14"/>
      <c r="F10" s="10"/>
      <c r="G10" s="31"/>
    </row>
    <row r="11" spans="1:11">
      <c r="A11" s="3"/>
      <c r="B11" s="103"/>
      <c r="C11" s="12"/>
      <c r="D11" s="13"/>
      <c r="E11" s="14"/>
      <c r="F11" s="10"/>
      <c r="G11" s="31"/>
    </row>
    <row r="12" spans="1:11">
      <c r="A12" s="3"/>
      <c r="B12" s="103"/>
      <c r="C12" s="12"/>
      <c r="D12" s="13"/>
      <c r="E12" s="14"/>
      <c r="F12" s="10"/>
      <c r="G12" s="31"/>
    </row>
    <row r="13" spans="1:11">
      <c r="A13" s="3"/>
      <c r="B13" s="103"/>
      <c r="C13" s="12"/>
      <c r="D13" s="13"/>
      <c r="E13" s="14"/>
      <c r="F13" s="10"/>
      <c r="G13" s="31"/>
    </row>
    <row r="14" spans="1:11">
      <c r="A14" s="3"/>
      <c r="B14" s="103"/>
      <c r="C14" s="12"/>
      <c r="D14" s="13"/>
      <c r="E14" s="14"/>
      <c r="F14" s="10"/>
      <c r="G14" s="31"/>
    </row>
    <row r="15" spans="1:11">
      <c r="A15" s="3"/>
      <c r="B15" s="103"/>
      <c r="C15" s="12"/>
      <c r="D15" s="13"/>
      <c r="E15" s="14"/>
      <c r="F15" s="10"/>
      <c r="G15" s="31"/>
    </row>
    <row r="16" spans="1:11">
      <c r="A16" s="3"/>
      <c r="B16" s="103"/>
      <c r="C16" s="12"/>
      <c r="D16" s="13"/>
      <c r="E16" s="14"/>
      <c r="F16" s="10"/>
      <c r="G16" s="31"/>
    </row>
    <row r="17" spans="1:7">
      <c r="A17" s="3"/>
      <c r="B17" s="103"/>
      <c r="C17" s="34"/>
      <c r="D17" s="35"/>
      <c r="E17" s="36"/>
      <c r="F17" s="3"/>
      <c r="G17" s="69" t="s">
        <v>463</v>
      </c>
    </row>
    <row r="18" spans="1:7" ht="23">
      <c r="A18" s="2"/>
      <c r="B18" s="104" t="s">
        <v>6</v>
      </c>
      <c r="C18" s="12"/>
      <c r="D18" s="2"/>
      <c r="E18" s="22">
        <f>SUM(E5:E17)</f>
        <v>130000</v>
      </c>
      <c r="F18" s="2"/>
      <c r="G18" s="31" t="s">
        <v>31</v>
      </c>
    </row>
    <row r="19" spans="1:7" ht="24.5">
      <c r="A19" s="2"/>
      <c r="B19" s="21" t="s">
        <v>114</v>
      </c>
      <c r="C19" s="12"/>
      <c r="D19" s="2"/>
      <c r="E19" s="23">
        <f>+E18*7%</f>
        <v>9100</v>
      </c>
      <c r="F19" s="2"/>
      <c r="G19" s="31" t="s">
        <v>32</v>
      </c>
    </row>
    <row r="20" spans="1:7" ht="24.5">
      <c r="A20" s="2"/>
      <c r="B20" s="20" t="s">
        <v>35</v>
      </c>
      <c r="C20" s="2"/>
      <c r="D20" s="2"/>
      <c r="E20" s="24">
        <f>SUM(E18:E19)</f>
        <v>139100</v>
      </c>
      <c r="F20" s="2"/>
      <c r="G20" s="31" t="s">
        <v>33</v>
      </c>
    </row>
    <row r="21" spans="1:7" ht="24.5">
      <c r="A21" s="2"/>
      <c r="B21" s="20"/>
      <c r="C21" s="2"/>
      <c r="D21" s="2"/>
      <c r="E21" s="24"/>
      <c r="F21" s="2"/>
      <c r="G21" s="31"/>
    </row>
    <row r="22" spans="1:7" ht="33">
      <c r="A22" s="2"/>
      <c r="B22" s="26" t="s">
        <v>36</v>
      </c>
      <c r="C22" s="202" t="str">
        <f>BAHTTEXT(E20)</f>
        <v>หนึ่งแสนสามหมื่นเก้าพันหนึ่งร้อยบาทถ้วน</v>
      </c>
      <c r="D22" s="203"/>
      <c r="E22" s="203"/>
      <c r="F22" s="203"/>
      <c r="G22" s="204"/>
    </row>
  </sheetData>
  <mergeCells count="6">
    <mergeCell ref="C22:G22"/>
    <mergeCell ref="A2:A4"/>
    <mergeCell ref="B2:B4"/>
    <mergeCell ref="C2:C4"/>
    <mergeCell ref="D2:E2"/>
    <mergeCell ref="F2:F4"/>
  </mergeCells>
  <pageMargins left="0.7" right="0.7" top="0.75" bottom="0.75" header="0.3" footer="0.3"/>
  <pageSetup paperSize="9" scale="6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0223-EAC5-413A-9050-CA722B912EB9}">
  <sheetPr>
    <pageSetUpPr fitToPage="1"/>
  </sheetPr>
  <dimension ref="A2:G26"/>
  <sheetViews>
    <sheetView zoomScale="115" zoomScaleNormal="115" workbookViewId="0">
      <selection activeCell="A2" sqref="A2:G26"/>
    </sheetView>
  </sheetViews>
  <sheetFormatPr defaultColWidth="9.08203125" defaultRowHeight="20.5"/>
  <cols>
    <col min="1" max="1" width="9.08203125" style="1"/>
    <col min="2" max="2" width="56.33203125" style="1" customWidth="1"/>
    <col min="3" max="3" width="6.9140625" style="1" customWidth="1"/>
    <col min="4" max="4" width="17.1640625" style="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2" t="s">
        <v>284</v>
      </c>
      <c r="C5" s="54" t="s">
        <v>482</v>
      </c>
      <c r="D5" s="133" t="s">
        <v>483</v>
      </c>
      <c r="E5" s="134">
        <v>7200</v>
      </c>
      <c r="F5" s="52">
        <v>30</v>
      </c>
      <c r="G5" s="57" t="s">
        <v>161</v>
      </c>
    </row>
    <row r="6" spans="1:7" ht="41">
      <c r="A6" s="52"/>
      <c r="B6" s="72" t="s">
        <v>479</v>
      </c>
      <c r="C6" s="54"/>
      <c r="D6" s="55"/>
      <c r="E6" s="58"/>
      <c r="F6" s="52"/>
      <c r="G6" s="15" t="s">
        <v>29</v>
      </c>
    </row>
    <row r="7" spans="1:7">
      <c r="A7" s="52"/>
      <c r="B7" s="72" t="s">
        <v>480</v>
      </c>
      <c r="C7" s="54"/>
      <c r="D7" s="55"/>
      <c r="E7" s="58"/>
      <c r="F7" s="52"/>
      <c r="G7" s="31" t="s">
        <v>238</v>
      </c>
    </row>
    <row r="8" spans="1:7">
      <c r="A8" s="52"/>
      <c r="B8" s="72" t="s">
        <v>481</v>
      </c>
      <c r="C8" s="54"/>
      <c r="D8" s="55"/>
      <c r="E8" s="58"/>
      <c r="F8" s="52"/>
      <c r="G8" s="31" t="s">
        <v>33</v>
      </c>
    </row>
    <row r="9" spans="1:7">
      <c r="A9" s="52"/>
      <c r="B9" s="75"/>
      <c r="C9" s="54"/>
      <c r="D9" s="55"/>
      <c r="E9" s="56"/>
      <c r="F9" s="52"/>
      <c r="G9" s="27"/>
    </row>
    <row r="10" spans="1:7">
      <c r="A10" s="52"/>
      <c r="B10" s="72"/>
      <c r="C10" s="54"/>
      <c r="D10" s="55"/>
      <c r="E10" s="58"/>
      <c r="F10" s="52"/>
      <c r="G10" s="60" t="s">
        <v>162</v>
      </c>
    </row>
    <row r="11" spans="1:7">
      <c r="A11" s="52"/>
      <c r="B11" s="72"/>
      <c r="C11" s="54"/>
      <c r="D11" s="55"/>
      <c r="E11" s="58"/>
      <c r="F11" s="52"/>
      <c r="G11" s="31" t="s">
        <v>31</v>
      </c>
    </row>
    <row r="12" spans="1:7">
      <c r="A12" s="52"/>
      <c r="B12" s="53"/>
      <c r="C12" s="54"/>
      <c r="D12" s="55"/>
      <c r="E12" s="58"/>
      <c r="F12" s="52"/>
      <c r="G12" s="31" t="s">
        <v>32</v>
      </c>
    </row>
    <row r="13" spans="1:7">
      <c r="A13" s="52"/>
      <c r="B13" s="53"/>
      <c r="C13" s="54"/>
      <c r="D13" s="55"/>
      <c r="E13" s="58"/>
      <c r="F13" s="52"/>
      <c r="G13" s="31" t="s">
        <v>459</v>
      </c>
    </row>
    <row r="14" spans="1:7" ht="41" hidden="1">
      <c r="A14" s="52"/>
      <c r="B14" s="53"/>
      <c r="C14" s="54"/>
      <c r="D14" s="55"/>
      <c r="E14" s="58"/>
      <c r="F14" s="52"/>
      <c r="G14" s="69" t="s">
        <v>164</v>
      </c>
    </row>
    <row r="15" spans="1:7" hidden="1">
      <c r="A15" s="52"/>
      <c r="B15" s="53"/>
      <c r="C15" s="54"/>
      <c r="D15" s="55"/>
      <c r="E15" s="58"/>
      <c r="F15" s="52"/>
      <c r="G15" s="59" t="s">
        <v>173</v>
      </c>
    </row>
    <row r="16" spans="1:7" hidden="1">
      <c r="A16" s="52"/>
      <c r="B16" s="53"/>
      <c r="C16" s="54"/>
      <c r="D16" s="55"/>
      <c r="E16" s="58"/>
      <c r="F16" s="52"/>
      <c r="G16" s="27" t="s">
        <v>173</v>
      </c>
    </row>
    <row r="17" spans="1:7" hidden="1">
      <c r="A17" s="52"/>
      <c r="B17" s="53"/>
      <c r="C17" s="54"/>
      <c r="D17" s="55"/>
      <c r="E17" s="58"/>
      <c r="F17" s="52"/>
      <c r="G17" s="27" t="s">
        <v>173</v>
      </c>
    </row>
    <row r="18" spans="1:7" hidden="1">
      <c r="A18" s="52"/>
      <c r="B18" s="53"/>
      <c r="C18" s="54"/>
      <c r="D18" s="55"/>
      <c r="E18" s="58"/>
      <c r="F18" s="52"/>
      <c r="G18" s="28" t="s">
        <v>165</v>
      </c>
    </row>
    <row r="19" spans="1:7" hidden="1">
      <c r="A19" s="52"/>
      <c r="B19" s="53"/>
      <c r="C19" s="54"/>
      <c r="D19" s="55"/>
      <c r="E19" s="58"/>
      <c r="F19" s="52"/>
      <c r="G19" s="70" t="s">
        <v>166</v>
      </c>
    </row>
    <row r="20" spans="1:7" hidden="1">
      <c r="A20" s="52"/>
      <c r="B20" s="53"/>
      <c r="C20" s="54"/>
      <c r="D20" s="55"/>
      <c r="E20" s="58"/>
      <c r="F20" s="52"/>
      <c r="G20" s="70" t="s">
        <v>167</v>
      </c>
    </row>
    <row r="21" spans="1:7" hidden="1">
      <c r="A21" s="52"/>
      <c r="B21" s="53"/>
      <c r="C21" s="54"/>
      <c r="D21" s="55"/>
      <c r="E21" s="58"/>
      <c r="F21" s="52"/>
      <c r="G21" s="70" t="s">
        <v>168</v>
      </c>
    </row>
    <row r="22" spans="1:7" ht="23">
      <c r="A22" s="62"/>
      <c r="B22" s="63" t="s">
        <v>6</v>
      </c>
      <c r="C22" s="54"/>
      <c r="D22" s="62"/>
      <c r="E22" s="64">
        <f>SUM(E5:E21)</f>
        <v>7200</v>
      </c>
      <c r="F22" s="62"/>
      <c r="G22" s="2"/>
    </row>
    <row r="23" spans="1:7" ht="24.5">
      <c r="A23" s="62"/>
      <c r="B23" s="63" t="s">
        <v>34</v>
      </c>
      <c r="C23" s="54"/>
      <c r="D23" s="62"/>
      <c r="E23" s="65">
        <f>E22*0%</f>
        <v>0</v>
      </c>
      <c r="F23" s="62"/>
      <c r="G23" s="2"/>
    </row>
    <row r="24" spans="1:7" ht="24.5">
      <c r="A24" s="62"/>
      <c r="B24" s="66" t="s">
        <v>35</v>
      </c>
      <c r="C24" s="62"/>
      <c r="D24" s="62"/>
      <c r="E24" s="67">
        <f>SUM(E22:E23)</f>
        <v>7200</v>
      </c>
      <c r="F24" s="62"/>
      <c r="G24" s="62"/>
    </row>
    <row r="25" spans="1:7" ht="24.5">
      <c r="A25" s="62"/>
      <c r="B25" s="66"/>
      <c r="C25" s="62"/>
      <c r="D25" s="62"/>
      <c r="E25" s="67"/>
      <c r="F25" s="62"/>
      <c r="G25" s="62"/>
    </row>
    <row r="26" spans="1:7" ht="33">
      <c r="A26" s="62"/>
      <c r="B26" s="68" t="s">
        <v>36</v>
      </c>
      <c r="C26" s="197" t="str">
        <f>BAHTTEXT(E24)</f>
        <v>เจ็ดพันสองร้อยบาทถ้วน</v>
      </c>
      <c r="D26" s="197"/>
      <c r="E26" s="197"/>
      <c r="F26" s="197"/>
      <c r="G26" s="62"/>
    </row>
  </sheetData>
  <mergeCells count="7">
    <mergeCell ref="G2:G4"/>
    <mergeCell ref="C26:F26"/>
    <mergeCell ref="A2:A4"/>
    <mergeCell ref="B2:B4"/>
    <mergeCell ref="C2:C4"/>
    <mergeCell ref="D2:E2"/>
    <mergeCell ref="F2:F4"/>
  </mergeCells>
  <pageMargins left="0.7" right="0.7" top="0.75" bottom="0.75" header="0.3" footer="0.3"/>
  <pageSetup paperSize="9" scale="57"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18AB-7E45-48F6-9CD2-09A954ADF2B1}">
  <sheetPr>
    <pageSetUpPr fitToPage="1"/>
  </sheetPr>
  <dimension ref="A2:G26"/>
  <sheetViews>
    <sheetView zoomScaleNormal="100" workbookViewId="0">
      <selection activeCell="E10" sqref="E10"/>
    </sheetView>
  </sheetViews>
  <sheetFormatPr defaultColWidth="9.08203125" defaultRowHeight="20.5"/>
  <cols>
    <col min="1" max="1" width="9.08203125" style="1"/>
    <col min="2" max="2" width="56.33203125" style="1" customWidth="1"/>
    <col min="3" max="3" width="6.9140625" style="1" customWidth="1"/>
    <col min="4" max="5" width="15.58203125" style="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142" t="s">
        <v>517</v>
      </c>
      <c r="C5" s="139" t="s">
        <v>516</v>
      </c>
      <c r="D5" s="141">
        <v>5773.2</v>
      </c>
      <c r="E5" s="138">
        <f>+C5*D5</f>
        <v>51958.799999999996</v>
      </c>
      <c r="F5" s="52">
        <v>10</v>
      </c>
      <c r="G5" s="57" t="s">
        <v>161</v>
      </c>
    </row>
    <row r="6" spans="1:7">
      <c r="A6" s="52"/>
      <c r="B6" s="75"/>
      <c r="C6" s="140"/>
      <c r="D6" s="141"/>
      <c r="E6" s="134"/>
      <c r="F6" s="52"/>
      <c r="G6" s="15" t="s">
        <v>259</v>
      </c>
    </row>
    <row r="7" spans="1:7">
      <c r="A7" s="52"/>
      <c r="B7" s="75"/>
      <c r="C7" s="140"/>
      <c r="D7" s="141"/>
      <c r="E7" s="134"/>
      <c r="F7" s="52"/>
      <c r="G7" s="31" t="s">
        <v>515</v>
      </c>
    </row>
    <row r="8" spans="1:7">
      <c r="A8" s="52"/>
      <c r="B8" s="72"/>
      <c r="C8" s="140"/>
      <c r="D8" s="141"/>
      <c r="E8" s="134"/>
      <c r="F8" s="52"/>
      <c r="G8" s="15" t="s">
        <v>509</v>
      </c>
    </row>
    <row r="9" spans="1:7">
      <c r="A9" s="52"/>
      <c r="B9" s="142"/>
      <c r="C9" s="139"/>
      <c r="D9" s="141"/>
      <c r="E9" s="138"/>
      <c r="F9" s="52"/>
      <c r="G9" s="27"/>
    </row>
    <row r="10" spans="1:7">
      <c r="A10" s="52"/>
      <c r="B10" s="75"/>
      <c r="C10" s="54"/>
      <c r="D10" s="55"/>
      <c r="E10" s="58"/>
      <c r="F10" s="52"/>
      <c r="G10" s="60" t="s">
        <v>162</v>
      </c>
    </row>
    <row r="11" spans="1:7">
      <c r="A11" s="52"/>
      <c r="B11" s="75"/>
      <c r="C11" s="54"/>
      <c r="D11" s="55"/>
      <c r="E11" s="58"/>
      <c r="F11" s="52"/>
      <c r="G11" s="15" t="s">
        <v>31</v>
      </c>
    </row>
    <row r="12" spans="1:7">
      <c r="A12" s="52"/>
      <c r="B12" s="53"/>
      <c r="C12" s="54"/>
      <c r="D12" s="55"/>
      <c r="E12" s="58"/>
      <c r="F12" s="52"/>
      <c r="G12" s="15" t="s">
        <v>28</v>
      </c>
    </row>
    <row r="13" spans="1:7">
      <c r="A13" s="52"/>
      <c r="B13" s="53"/>
      <c r="C13" s="54"/>
      <c r="D13" s="55"/>
      <c r="E13" s="58"/>
      <c r="F13" s="52"/>
      <c r="G13" s="31" t="s">
        <v>285</v>
      </c>
    </row>
    <row r="14" spans="1:7" ht="41" hidden="1">
      <c r="A14" s="52"/>
      <c r="B14" s="53"/>
      <c r="C14" s="54"/>
      <c r="D14" s="55"/>
      <c r="E14" s="58"/>
      <c r="F14" s="52"/>
      <c r="G14" s="69" t="s">
        <v>164</v>
      </c>
    </row>
    <row r="15" spans="1:7" hidden="1">
      <c r="A15" s="52"/>
      <c r="B15" s="53"/>
      <c r="C15" s="54"/>
      <c r="D15" s="55"/>
      <c r="E15" s="58"/>
      <c r="F15" s="52"/>
      <c r="G15" s="59" t="s">
        <v>173</v>
      </c>
    </row>
    <row r="16" spans="1:7" hidden="1">
      <c r="A16" s="52"/>
      <c r="B16" s="53"/>
      <c r="C16" s="54"/>
      <c r="D16" s="55"/>
      <c r="E16" s="58"/>
      <c r="F16" s="52"/>
      <c r="G16" s="27" t="s">
        <v>173</v>
      </c>
    </row>
    <row r="17" spans="1:7" hidden="1">
      <c r="A17" s="52"/>
      <c r="B17" s="53"/>
      <c r="C17" s="54"/>
      <c r="D17" s="55"/>
      <c r="E17" s="58"/>
      <c r="F17" s="52"/>
      <c r="G17" s="27" t="s">
        <v>173</v>
      </c>
    </row>
    <row r="18" spans="1:7" hidden="1">
      <c r="A18" s="52"/>
      <c r="B18" s="53"/>
      <c r="C18" s="54"/>
      <c r="D18" s="55"/>
      <c r="E18" s="58"/>
      <c r="F18" s="52"/>
      <c r="G18" s="28" t="s">
        <v>165</v>
      </c>
    </row>
    <row r="19" spans="1:7" hidden="1">
      <c r="A19" s="52"/>
      <c r="B19" s="53"/>
      <c r="C19" s="54"/>
      <c r="D19" s="55"/>
      <c r="E19" s="58"/>
      <c r="F19" s="52"/>
      <c r="G19" s="70" t="s">
        <v>166</v>
      </c>
    </row>
    <row r="20" spans="1:7" hidden="1">
      <c r="A20" s="52"/>
      <c r="B20" s="53"/>
      <c r="C20" s="54"/>
      <c r="D20" s="55"/>
      <c r="E20" s="58"/>
      <c r="F20" s="52"/>
      <c r="G20" s="70" t="s">
        <v>167</v>
      </c>
    </row>
    <row r="21" spans="1:7" hidden="1">
      <c r="A21" s="52"/>
      <c r="B21" s="53"/>
      <c r="C21" s="54"/>
      <c r="D21" s="55"/>
      <c r="E21" s="58"/>
      <c r="F21" s="52"/>
      <c r="G21" s="70" t="s">
        <v>168</v>
      </c>
    </row>
    <row r="22" spans="1:7" ht="23">
      <c r="A22" s="62"/>
      <c r="B22" s="63" t="s">
        <v>6</v>
      </c>
      <c r="C22" s="54"/>
      <c r="D22" s="62"/>
      <c r="E22" s="64">
        <f>SUM(E5:E21)</f>
        <v>51958.799999999996</v>
      </c>
      <c r="F22" s="62"/>
      <c r="G22" s="2"/>
    </row>
    <row r="23" spans="1:7" ht="24.5">
      <c r="A23" s="62"/>
      <c r="B23" s="63" t="s">
        <v>34</v>
      </c>
      <c r="C23" s="54"/>
      <c r="D23" s="62"/>
      <c r="E23" s="65">
        <f>E22*0%</f>
        <v>0</v>
      </c>
      <c r="F23" s="62"/>
      <c r="G23" s="2"/>
    </row>
    <row r="24" spans="1:7" ht="24.5">
      <c r="A24" s="62"/>
      <c r="B24" s="66" t="s">
        <v>35</v>
      </c>
      <c r="C24" s="62"/>
      <c r="D24" s="62"/>
      <c r="E24" s="67">
        <f>SUM(E22:E23)</f>
        <v>51958.799999999996</v>
      </c>
      <c r="F24" s="62"/>
      <c r="G24" s="62"/>
    </row>
    <row r="25" spans="1:7" ht="24.5">
      <c r="A25" s="62"/>
      <c r="B25" s="66"/>
      <c r="C25" s="62"/>
      <c r="D25" s="62"/>
      <c r="E25" s="67"/>
      <c r="F25" s="62"/>
      <c r="G25" s="62"/>
    </row>
    <row r="26" spans="1:7" ht="33">
      <c r="A26" s="62"/>
      <c r="B26" s="68" t="s">
        <v>36</v>
      </c>
      <c r="C26" s="197" t="str">
        <f>BAHTTEXT(E24)</f>
        <v>ห้าหมื่นหนึ่งพันเก้าร้อยห้าสิบแปดบาทแปดสิบสตางค์</v>
      </c>
      <c r="D26" s="197"/>
      <c r="E26" s="197"/>
      <c r="F26" s="197"/>
      <c r="G26" s="62"/>
    </row>
  </sheetData>
  <mergeCells count="7">
    <mergeCell ref="G2:G4"/>
    <mergeCell ref="C26:F26"/>
    <mergeCell ref="A2:A4"/>
    <mergeCell ref="B2:B4"/>
    <mergeCell ref="C2:C4"/>
    <mergeCell ref="D2:E2"/>
    <mergeCell ref="F2:F4"/>
  </mergeCells>
  <pageMargins left="0.7" right="0.7" top="0.75" bottom="0.75" header="0.3" footer="0.3"/>
  <pageSetup paperSize="9" scale="57"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91D9-1993-47AB-AE62-A14F753B2F8B}">
  <dimension ref="A2:G22"/>
  <sheetViews>
    <sheetView topLeftCell="A6" zoomScale="85" zoomScaleNormal="85" workbookViewId="0">
      <selection activeCell="G18" sqref="G18:G20"/>
    </sheetView>
  </sheetViews>
  <sheetFormatPr defaultColWidth="9.08203125" defaultRowHeight="20.5"/>
  <cols>
    <col min="1" max="1" width="6.83203125" style="1" customWidth="1"/>
    <col min="2" max="2" width="51.8320312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116" t="s">
        <v>467</v>
      </c>
      <c r="C5" s="12">
        <v>4</v>
      </c>
      <c r="D5" s="13">
        <v>3700</v>
      </c>
      <c r="E5" s="14">
        <f t="shared" ref="E5:E9" si="0">+C5*D5</f>
        <v>14800</v>
      </c>
      <c r="F5" s="10">
        <v>30</v>
      </c>
      <c r="G5" s="29" t="s">
        <v>51</v>
      </c>
    </row>
    <row r="6" spans="1:7">
      <c r="A6" s="3">
        <v>2</v>
      </c>
      <c r="B6" s="128" t="s">
        <v>468</v>
      </c>
      <c r="C6" s="12">
        <v>4</v>
      </c>
      <c r="D6" s="38">
        <v>600</v>
      </c>
      <c r="E6" s="14">
        <f t="shared" si="0"/>
        <v>2400</v>
      </c>
      <c r="F6" s="10"/>
      <c r="G6" s="15" t="s">
        <v>29</v>
      </c>
    </row>
    <row r="7" spans="1:7">
      <c r="A7" s="3">
        <v>3</v>
      </c>
      <c r="B7" s="128" t="s">
        <v>469</v>
      </c>
      <c r="C7" s="34">
        <v>4</v>
      </c>
      <c r="D7" s="35">
        <v>600</v>
      </c>
      <c r="E7" s="14">
        <f t="shared" si="0"/>
        <v>2400</v>
      </c>
      <c r="F7" s="3"/>
      <c r="G7" s="31" t="s">
        <v>238</v>
      </c>
    </row>
    <row r="8" spans="1:7">
      <c r="A8" s="3">
        <v>4</v>
      </c>
      <c r="B8" s="128" t="s">
        <v>470</v>
      </c>
      <c r="C8" s="12">
        <v>4</v>
      </c>
      <c r="D8" s="13">
        <v>400</v>
      </c>
      <c r="E8" s="14">
        <f t="shared" si="0"/>
        <v>1600</v>
      </c>
      <c r="F8" s="10"/>
      <c r="G8" s="31" t="s">
        <v>33</v>
      </c>
    </row>
    <row r="9" spans="1:7">
      <c r="A9" s="3">
        <v>5</v>
      </c>
      <c r="B9" s="128" t="s">
        <v>471</v>
      </c>
      <c r="C9" s="12">
        <v>4</v>
      </c>
      <c r="D9" s="13">
        <v>600</v>
      </c>
      <c r="E9" s="14">
        <f t="shared" si="0"/>
        <v>2400</v>
      </c>
      <c r="F9" s="10"/>
      <c r="G9" s="31"/>
    </row>
    <row r="10" spans="1:7">
      <c r="A10" s="3"/>
      <c r="B10" s="103"/>
      <c r="C10" s="12"/>
      <c r="D10" s="13"/>
      <c r="E10" s="14"/>
      <c r="F10" s="10"/>
      <c r="G10" s="31"/>
    </row>
    <row r="11" spans="1:7">
      <c r="A11" s="3"/>
      <c r="B11" s="103"/>
      <c r="C11" s="12"/>
      <c r="D11" s="13"/>
      <c r="E11" s="14"/>
      <c r="F11" s="10"/>
      <c r="G11" s="31"/>
    </row>
    <row r="12" spans="1:7">
      <c r="A12" s="3"/>
      <c r="B12" s="103"/>
      <c r="C12" s="12"/>
      <c r="D12" s="13"/>
      <c r="E12" s="14"/>
      <c r="F12" s="10"/>
      <c r="G12" s="31"/>
    </row>
    <row r="13" spans="1:7">
      <c r="A13" s="3"/>
      <c r="B13" s="103"/>
      <c r="C13" s="12"/>
      <c r="D13" s="13"/>
      <c r="E13" s="14"/>
      <c r="F13" s="10"/>
      <c r="G13" s="31"/>
    </row>
    <row r="14" spans="1:7">
      <c r="A14" s="3"/>
      <c r="B14" s="103"/>
      <c r="C14" s="12"/>
      <c r="D14" s="13"/>
      <c r="E14" s="14"/>
      <c r="F14" s="10"/>
      <c r="G14" s="31"/>
    </row>
    <row r="15" spans="1:7">
      <c r="A15" s="3"/>
      <c r="B15" s="103"/>
      <c r="C15" s="12"/>
      <c r="D15" s="13"/>
      <c r="E15" s="14"/>
      <c r="F15" s="10"/>
      <c r="G15" s="31"/>
    </row>
    <row r="16" spans="1:7">
      <c r="A16" s="3"/>
      <c r="B16" s="103"/>
      <c r="C16" s="12"/>
      <c r="D16" s="13"/>
      <c r="E16" s="14"/>
      <c r="F16" s="10"/>
      <c r="G16" s="31"/>
    </row>
    <row r="17" spans="1:7">
      <c r="A17" s="3"/>
      <c r="B17" s="103"/>
      <c r="C17" s="34"/>
      <c r="D17" s="35"/>
      <c r="E17" s="36"/>
      <c r="F17" s="3"/>
      <c r="G17" s="69" t="s">
        <v>463</v>
      </c>
    </row>
    <row r="18" spans="1:7" ht="23">
      <c r="A18" s="2"/>
      <c r="B18" s="104" t="s">
        <v>6</v>
      </c>
      <c r="C18" s="12"/>
      <c r="D18" s="2"/>
      <c r="E18" s="22">
        <f>SUM(E5:E17)</f>
        <v>23600</v>
      </c>
      <c r="F18" s="2"/>
      <c r="G18" s="31" t="s">
        <v>31</v>
      </c>
    </row>
    <row r="19" spans="1:7" ht="24.5">
      <c r="A19" s="2"/>
      <c r="B19" s="21" t="s">
        <v>114</v>
      </c>
      <c r="C19" s="12"/>
      <c r="D19" s="2"/>
      <c r="E19" s="23">
        <f>+E18*7%</f>
        <v>1652.0000000000002</v>
      </c>
      <c r="F19" s="2"/>
      <c r="G19" s="31" t="s">
        <v>32</v>
      </c>
    </row>
    <row r="20" spans="1:7" ht="24.5">
      <c r="A20" s="2"/>
      <c r="B20" s="20" t="s">
        <v>35</v>
      </c>
      <c r="C20" s="2"/>
      <c r="D20" s="2"/>
      <c r="E20" s="24">
        <f>SUM(E18:E19)</f>
        <v>25252</v>
      </c>
      <c r="F20" s="2"/>
      <c r="G20" s="31" t="s">
        <v>459</v>
      </c>
    </row>
    <row r="21" spans="1:7" ht="24.5">
      <c r="A21" s="2"/>
      <c r="B21" s="20"/>
      <c r="C21" s="2"/>
      <c r="D21" s="2"/>
      <c r="E21" s="24"/>
      <c r="F21" s="2"/>
      <c r="G21" s="31"/>
    </row>
    <row r="22" spans="1:7" ht="33">
      <c r="A22" s="2"/>
      <c r="B22" s="26" t="s">
        <v>36</v>
      </c>
      <c r="C22" s="202" t="str">
        <f>BAHTTEXT(E20)</f>
        <v>สองหมื่นห้าพันสองร้อยห้าสิบสองบาทถ้วน</v>
      </c>
      <c r="D22" s="203"/>
      <c r="E22" s="203"/>
      <c r="F22" s="203"/>
      <c r="G22" s="204"/>
    </row>
  </sheetData>
  <mergeCells count="6">
    <mergeCell ref="C22:G22"/>
    <mergeCell ref="A2:A4"/>
    <mergeCell ref="B2:B4"/>
    <mergeCell ref="C2:C4"/>
    <mergeCell ref="D2:E2"/>
    <mergeCell ref="F2:F4"/>
  </mergeCells>
  <pageMargins left="0.7" right="0.7" top="0.75" bottom="0.75" header="0.3" footer="0.3"/>
  <pageSetup paperSize="9" scale="63"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C97A-2EBC-48A6-9D0B-3645893D28D7}">
  <dimension ref="A2:G20"/>
  <sheetViews>
    <sheetView zoomScale="90" zoomScaleNormal="90" workbookViewId="0">
      <selection activeCell="B14" sqref="B14"/>
    </sheetView>
  </sheetViews>
  <sheetFormatPr defaultColWidth="9.08203125" defaultRowHeight="20.5"/>
  <cols>
    <col min="1" max="1" width="6.83203125" style="1" customWidth="1"/>
    <col min="2" max="2" width="51.83203125" style="1" customWidth="1"/>
    <col min="3" max="3" width="10.582031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24">
      <c r="A5" s="3">
        <v>1</v>
      </c>
      <c r="B5" s="129" t="s">
        <v>472</v>
      </c>
      <c r="C5" s="42">
        <v>10</v>
      </c>
      <c r="D5" s="35">
        <v>129</v>
      </c>
      <c r="E5" s="36">
        <f t="shared" ref="E5:E11" si="0">+C5*D5</f>
        <v>1290</v>
      </c>
      <c r="F5" s="10">
        <v>15</v>
      </c>
      <c r="G5" s="29" t="s">
        <v>51</v>
      </c>
    </row>
    <row r="6" spans="1:7" ht="24">
      <c r="A6" s="3">
        <v>2</v>
      </c>
      <c r="B6" s="129" t="s">
        <v>473</v>
      </c>
      <c r="C6" s="42">
        <v>6</v>
      </c>
      <c r="D6" s="108">
        <v>165</v>
      </c>
      <c r="E6" s="36">
        <f t="shared" si="0"/>
        <v>990</v>
      </c>
      <c r="F6" s="10">
        <v>15</v>
      </c>
      <c r="G6" s="15" t="s">
        <v>29</v>
      </c>
    </row>
    <row r="7" spans="1:7" ht="24">
      <c r="A7" s="3">
        <v>3</v>
      </c>
      <c r="B7" s="129" t="s">
        <v>474</v>
      </c>
      <c r="C7" s="42">
        <v>16</v>
      </c>
      <c r="D7" s="35">
        <v>168</v>
      </c>
      <c r="E7" s="36">
        <f t="shared" si="0"/>
        <v>2688</v>
      </c>
      <c r="F7" s="3">
        <v>15</v>
      </c>
      <c r="G7" s="31" t="s">
        <v>238</v>
      </c>
    </row>
    <row r="8" spans="1:7" ht="24">
      <c r="A8" s="3">
        <v>4</v>
      </c>
      <c r="B8" s="129" t="s">
        <v>475</v>
      </c>
      <c r="C8" s="42">
        <v>3</v>
      </c>
      <c r="D8" s="35">
        <v>179</v>
      </c>
      <c r="E8" s="36">
        <f t="shared" si="0"/>
        <v>537</v>
      </c>
      <c r="F8" s="10">
        <v>15</v>
      </c>
      <c r="G8" s="31" t="s">
        <v>32</v>
      </c>
    </row>
    <row r="9" spans="1:7" ht="24">
      <c r="A9" s="3">
        <v>5</v>
      </c>
      <c r="B9" s="130" t="s">
        <v>476</v>
      </c>
      <c r="C9" s="42">
        <v>2</v>
      </c>
      <c r="D9" s="35">
        <v>3990</v>
      </c>
      <c r="E9" s="36">
        <f t="shared" si="0"/>
        <v>7980</v>
      </c>
      <c r="F9" s="10">
        <v>15</v>
      </c>
      <c r="G9" s="31"/>
    </row>
    <row r="10" spans="1:7" ht="24">
      <c r="A10" s="3">
        <v>6</v>
      </c>
      <c r="B10" s="129" t="s">
        <v>477</v>
      </c>
      <c r="C10" s="42">
        <v>3</v>
      </c>
      <c r="D10" s="35">
        <v>70</v>
      </c>
      <c r="E10" s="36">
        <f t="shared" si="0"/>
        <v>210</v>
      </c>
      <c r="F10" s="10">
        <v>15</v>
      </c>
      <c r="G10" s="31"/>
    </row>
    <row r="11" spans="1:7" ht="24">
      <c r="A11" s="3">
        <v>7</v>
      </c>
      <c r="B11" s="131" t="s">
        <v>478</v>
      </c>
      <c r="C11" s="132">
        <v>6</v>
      </c>
      <c r="D11" s="35">
        <v>280</v>
      </c>
      <c r="E11" s="36">
        <f t="shared" si="0"/>
        <v>1680</v>
      </c>
      <c r="F11" s="10">
        <v>15</v>
      </c>
      <c r="G11" s="31"/>
    </row>
    <row r="12" spans="1:7">
      <c r="A12" s="3"/>
      <c r="B12" s="103"/>
      <c r="C12" s="12"/>
      <c r="D12" s="13"/>
      <c r="E12" s="14"/>
      <c r="F12" s="10"/>
      <c r="G12" s="31"/>
    </row>
    <row r="13" spans="1:7">
      <c r="A13" s="3"/>
      <c r="B13" s="103"/>
      <c r="C13" s="12"/>
      <c r="D13" s="13"/>
      <c r="E13" s="14"/>
      <c r="F13" s="10"/>
      <c r="G13" s="15"/>
    </row>
    <row r="14" spans="1:7">
      <c r="A14" s="3"/>
      <c r="B14" s="103"/>
      <c r="C14" s="12"/>
      <c r="D14" s="13"/>
      <c r="E14" s="14"/>
      <c r="F14" s="10"/>
      <c r="G14" s="15"/>
    </row>
    <row r="15" spans="1:7">
      <c r="A15" s="3"/>
      <c r="B15" s="103"/>
      <c r="C15" s="34"/>
      <c r="D15" s="35"/>
      <c r="E15" s="36"/>
      <c r="F15" s="3"/>
      <c r="G15" s="69" t="s">
        <v>463</v>
      </c>
    </row>
    <row r="16" spans="1:7" ht="23">
      <c r="A16" s="2"/>
      <c r="B16" s="104" t="s">
        <v>6</v>
      </c>
      <c r="C16" s="12"/>
      <c r="D16" s="2"/>
      <c r="E16" s="22">
        <f>SUM(E5:E15)</f>
        <v>15375</v>
      </c>
      <c r="F16" s="2"/>
      <c r="G16" s="31" t="s">
        <v>459</v>
      </c>
    </row>
    <row r="17" spans="1:7" ht="24.5">
      <c r="A17" s="2"/>
      <c r="B17" s="21" t="s">
        <v>114</v>
      </c>
      <c r="C17" s="12"/>
      <c r="D17" s="2"/>
      <c r="E17" s="23">
        <f>+E16*7%</f>
        <v>1076.25</v>
      </c>
      <c r="F17" s="2"/>
      <c r="G17" s="31"/>
    </row>
    <row r="18" spans="1:7" ht="24.5">
      <c r="A18" s="2"/>
      <c r="B18" s="20" t="s">
        <v>35</v>
      </c>
      <c r="C18" s="2"/>
      <c r="D18" s="2"/>
      <c r="E18" s="24">
        <f>SUM(E16:E17)</f>
        <v>16451.25</v>
      </c>
      <c r="F18" s="2"/>
      <c r="G18" s="31"/>
    </row>
    <row r="19" spans="1:7" ht="24.5">
      <c r="A19" s="2"/>
      <c r="B19" s="20"/>
      <c r="C19" s="2"/>
      <c r="D19" s="2"/>
      <c r="E19" s="24"/>
      <c r="F19" s="2"/>
      <c r="G19" s="31"/>
    </row>
    <row r="20" spans="1:7" ht="33">
      <c r="A20" s="2"/>
      <c r="B20" s="26" t="s">
        <v>36</v>
      </c>
      <c r="C20" s="202" t="str">
        <f>BAHTTEXT(E18)</f>
        <v>หนึ่งหมื่นหกพันสี่ร้อยห้าสิบเอ็ดบาทยี่สิบห้าสตางค์</v>
      </c>
      <c r="D20" s="203"/>
      <c r="E20" s="203"/>
      <c r="F20" s="203"/>
      <c r="G20" s="204"/>
    </row>
  </sheetData>
  <mergeCells count="6">
    <mergeCell ref="C20:G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12FC-5E01-40D8-988F-DF507EC3CDD9}">
  <dimension ref="A2:G16"/>
  <sheetViews>
    <sheetView zoomScale="90" zoomScaleNormal="90" workbookViewId="0">
      <selection activeCell="C6" sqref="C6"/>
    </sheetView>
  </sheetViews>
  <sheetFormatPr defaultColWidth="9.08203125" defaultRowHeight="20.5"/>
  <cols>
    <col min="1" max="1" width="9.08203125" style="1"/>
    <col min="2" max="2" width="44.7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2"/>
      <c r="B5" s="2"/>
      <c r="C5" s="2"/>
      <c r="D5" s="13"/>
      <c r="E5" s="14"/>
      <c r="G5" s="29" t="s">
        <v>51</v>
      </c>
    </row>
    <row r="6" spans="1:7" ht="41">
      <c r="A6" s="124">
        <v>1</v>
      </c>
      <c r="B6" s="123" t="s">
        <v>464</v>
      </c>
      <c r="C6" s="125">
        <v>1</v>
      </c>
      <c r="D6" s="126">
        <v>2000</v>
      </c>
      <c r="E6" s="127"/>
      <c r="F6" s="10">
        <v>15</v>
      </c>
      <c r="G6" s="15" t="s">
        <v>285</v>
      </c>
    </row>
    <row r="7" spans="1:7" ht="41">
      <c r="A7" s="3">
        <v>2</v>
      </c>
      <c r="B7" s="103" t="s">
        <v>465</v>
      </c>
      <c r="C7" s="12">
        <v>1</v>
      </c>
      <c r="D7" s="35">
        <v>350</v>
      </c>
      <c r="E7" s="36"/>
      <c r="F7" s="10">
        <v>15</v>
      </c>
      <c r="G7" s="15" t="s">
        <v>259</v>
      </c>
    </row>
    <row r="8" spans="1:7" ht="41">
      <c r="A8" s="3">
        <v>3</v>
      </c>
      <c r="B8" s="103" t="s">
        <v>466</v>
      </c>
      <c r="C8" s="34">
        <v>1</v>
      </c>
      <c r="D8" s="13">
        <v>350</v>
      </c>
      <c r="E8" s="14"/>
      <c r="F8" s="10">
        <v>15</v>
      </c>
      <c r="G8" s="15" t="s">
        <v>29</v>
      </c>
    </row>
    <row r="9" spans="1:7">
      <c r="A9" s="122"/>
      <c r="B9" s="103"/>
      <c r="C9" s="34"/>
      <c r="D9" s="35"/>
      <c r="E9" s="36"/>
      <c r="F9" s="3"/>
      <c r="G9" s="2"/>
    </row>
    <row r="10" spans="1:7">
      <c r="A10" s="3"/>
      <c r="B10" s="103"/>
      <c r="C10" s="34"/>
      <c r="D10" s="35"/>
      <c r="E10" s="36"/>
      <c r="F10" s="3"/>
      <c r="G10" s="2"/>
    </row>
    <row r="11" spans="1:7">
      <c r="A11" s="3"/>
      <c r="B11" s="103"/>
      <c r="C11" s="34"/>
      <c r="D11" s="35"/>
      <c r="E11" s="36"/>
      <c r="F11" s="3"/>
      <c r="G11" s="69" t="s">
        <v>463</v>
      </c>
    </row>
    <row r="12" spans="1:7" ht="23">
      <c r="A12" s="2"/>
      <c r="B12" s="104" t="s">
        <v>6</v>
      </c>
      <c r="C12" s="12"/>
      <c r="D12" s="2"/>
      <c r="E12" s="22">
        <f>SUM(E5:E11)</f>
        <v>0</v>
      </c>
      <c r="F12" s="2"/>
      <c r="G12" s="31" t="s">
        <v>28</v>
      </c>
    </row>
    <row r="13" spans="1:7" ht="24.5">
      <c r="A13" s="2"/>
      <c r="B13" s="21" t="s">
        <v>114</v>
      </c>
      <c r="C13" s="12"/>
      <c r="D13" s="2"/>
      <c r="E13" s="23">
        <v>0</v>
      </c>
      <c r="F13" s="2"/>
      <c r="G13" s="27"/>
    </row>
    <row r="14" spans="1:7" ht="24.5">
      <c r="A14" s="2"/>
      <c r="B14" s="20" t="s">
        <v>35</v>
      </c>
      <c r="C14" s="2"/>
      <c r="D14" s="2"/>
      <c r="E14" s="24">
        <f>SUM(E12:E13)</f>
        <v>0</v>
      </c>
      <c r="F14" s="2"/>
      <c r="G14" s="31"/>
    </row>
    <row r="15" spans="1:7" ht="24.5">
      <c r="A15" s="2"/>
      <c r="B15" s="20"/>
      <c r="C15" s="2"/>
      <c r="D15" s="2"/>
      <c r="E15" s="24"/>
      <c r="F15" s="2"/>
      <c r="G15" s="31"/>
    </row>
    <row r="16" spans="1:7" ht="33">
      <c r="A16" s="2"/>
      <c r="B16" s="26" t="s">
        <v>36</v>
      </c>
      <c r="C16" s="202" t="str">
        <f>BAHTTEXT(E14)</f>
        <v>ศูนย์บาทถ้วน</v>
      </c>
      <c r="D16" s="203"/>
      <c r="E16" s="203"/>
      <c r="F16" s="203"/>
      <c r="G16" s="204"/>
    </row>
  </sheetData>
  <mergeCells count="6">
    <mergeCell ref="C16:G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9F9FC-ADAC-4FA9-84E4-88A0B3FD8724}">
  <dimension ref="A2:G16"/>
  <sheetViews>
    <sheetView zoomScale="90" zoomScaleNormal="90" workbookViewId="0">
      <selection activeCell="C6" sqref="C6"/>
    </sheetView>
  </sheetViews>
  <sheetFormatPr defaultColWidth="9.08203125" defaultRowHeight="20.5"/>
  <cols>
    <col min="1" max="1" width="9.08203125" style="1"/>
    <col min="2" max="2" width="44.7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123" t="s">
        <v>462</v>
      </c>
      <c r="C5" s="12">
        <v>3</v>
      </c>
      <c r="D5" s="13">
        <v>33000</v>
      </c>
      <c r="E5" s="14">
        <f t="shared" ref="E5:E6" si="0">+C5*D5</f>
        <v>99000</v>
      </c>
      <c r="F5" s="10">
        <v>30</v>
      </c>
      <c r="G5" s="29" t="s">
        <v>51</v>
      </c>
    </row>
    <row r="6" spans="1:7">
      <c r="A6" s="3"/>
      <c r="B6" s="103"/>
      <c r="C6" s="12"/>
      <c r="D6" s="38"/>
      <c r="E6" s="14">
        <f t="shared" si="0"/>
        <v>0</v>
      </c>
      <c r="F6" s="10">
        <v>30</v>
      </c>
      <c r="G6" s="15" t="s">
        <v>29</v>
      </c>
    </row>
    <row r="7" spans="1:7">
      <c r="A7" s="3"/>
      <c r="B7" s="103"/>
      <c r="C7" s="34"/>
      <c r="D7" s="35"/>
      <c r="E7" s="36"/>
      <c r="F7" s="3"/>
      <c r="G7" s="31" t="s">
        <v>28</v>
      </c>
    </row>
    <row r="8" spans="1:7">
      <c r="A8" s="3"/>
      <c r="B8" s="103"/>
      <c r="C8" s="12"/>
      <c r="D8" s="13"/>
      <c r="E8" s="14"/>
      <c r="F8" s="10"/>
      <c r="G8" s="15" t="s">
        <v>259</v>
      </c>
    </row>
    <row r="9" spans="1:7">
      <c r="A9" s="122"/>
      <c r="B9" s="103"/>
      <c r="C9" s="34"/>
      <c r="D9" s="35"/>
      <c r="E9" s="36"/>
      <c r="F9" s="3"/>
      <c r="G9" s="31"/>
    </row>
    <row r="10" spans="1:7">
      <c r="A10" s="3"/>
      <c r="B10" s="103"/>
      <c r="C10" s="34"/>
      <c r="D10" s="35"/>
      <c r="E10" s="36"/>
      <c r="F10" s="3"/>
      <c r="G10" s="31"/>
    </row>
    <row r="11" spans="1:7">
      <c r="A11" s="3"/>
      <c r="B11" s="103"/>
      <c r="C11" s="34"/>
      <c r="D11" s="35"/>
      <c r="E11" s="36"/>
      <c r="F11" s="3"/>
      <c r="G11" s="69" t="s">
        <v>50</v>
      </c>
    </row>
    <row r="12" spans="1:7" ht="23">
      <c r="A12" s="2"/>
      <c r="B12" s="104" t="s">
        <v>6</v>
      </c>
      <c r="C12" s="12"/>
      <c r="D12" s="2"/>
      <c r="E12" s="22">
        <f>SUM(E5:E11)</f>
        <v>99000</v>
      </c>
      <c r="F12" s="2"/>
      <c r="G12" s="27" t="s">
        <v>31</v>
      </c>
    </row>
    <row r="13" spans="1:7" ht="24.5">
      <c r="A13" s="2"/>
      <c r="B13" s="21" t="s">
        <v>114</v>
      </c>
      <c r="C13" s="12"/>
      <c r="D13" s="2"/>
      <c r="E13" s="23">
        <f>E12*7%</f>
        <v>6930.0000000000009</v>
      </c>
      <c r="F13" s="2"/>
      <c r="G13" s="31" t="s">
        <v>32</v>
      </c>
    </row>
    <row r="14" spans="1:7" ht="24.5">
      <c r="A14" s="2"/>
      <c r="B14" s="20" t="s">
        <v>35</v>
      </c>
      <c r="C14" s="2"/>
      <c r="D14" s="2"/>
      <c r="E14" s="24">
        <f>SUM(E12:E13)</f>
        <v>105930</v>
      </c>
      <c r="F14" s="2"/>
      <c r="G14" s="31" t="s">
        <v>459</v>
      </c>
    </row>
    <row r="15" spans="1:7" ht="24.5">
      <c r="A15" s="2"/>
      <c r="B15" s="20"/>
      <c r="C15" s="2"/>
      <c r="D15" s="2"/>
      <c r="E15" s="24"/>
      <c r="F15" s="2"/>
      <c r="G15" s="31"/>
    </row>
    <row r="16" spans="1:7" ht="33">
      <c r="A16" s="2"/>
      <c r="B16" s="26" t="s">
        <v>36</v>
      </c>
      <c r="C16" s="202" t="str">
        <f>BAHTTEXT(E14)</f>
        <v>หนึ่งแสนห้าพันเก้าร้อยสามสิบบาทถ้วน</v>
      </c>
      <c r="D16" s="203"/>
      <c r="E16" s="203"/>
      <c r="F16" s="203"/>
      <c r="G16" s="204"/>
    </row>
  </sheetData>
  <mergeCells count="6">
    <mergeCell ref="C16:G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8353F-956C-461D-AA38-77EAE5D34456}">
  <dimension ref="A2:G16"/>
  <sheetViews>
    <sheetView zoomScale="160" zoomScaleNormal="160" workbookViewId="0">
      <selection activeCell="A2" sqref="A2:G16"/>
    </sheetView>
  </sheetViews>
  <sheetFormatPr defaultColWidth="9.08203125" defaultRowHeight="20.5"/>
  <cols>
    <col min="1" max="1" width="9.08203125" style="1"/>
    <col min="2" max="2" width="44.7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123" t="s">
        <v>460</v>
      </c>
      <c r="C5" s="12">
        <v>50</v>
      </c>
      <c r="D5" s="13">
        <v>13550</v>
      </c>
      <c r="E5" s="14">
        <f t="shared" ref="E5:E6" si="0">+C5*D5</f>
        <v>677500</v>
      </c>
      <c r="F5" s="10">
        <v>30</v>
      </c>
      <c r="G5" s="29" t="s">
        <v>51</v>
      </c>
    </row>
    <row r="6" spans="1:7">
      <c r="A6" s="3">
        <v>2</v>
      </c>
      <c r="B6" s="103" t="s">
        <v>461</v>
      </c>
      <c r="C6" s="12">
        <v>50</v>
      </c>
      <c r="D6" s="38">
        <v>2600</v>
      </c>
      <c r="E6" s="14">
        <f t="shared" si="0"/>
        <v>130000</v>
      </c>
      <c r="F6" s="10">
        <v>30</v>
      </c>
      <c r="G6" s="15" t="s">
        <v>29</v>
      </c>
    </row>
    <row r="7" spans="1:7">
      <c r="A7" s="3"/>
      <c r="B7" s="103"/>
      <c r="C7" s="34"/>
      <c r="D7" s="35"/>
      <c r="E7" s="36"/>
      <c r="F7" s="3"/>
      <c r="G7" s="31" t="s">
        <v>28</v>
      </c>
    </row>
    <row r="8" spans="1:7">
      <c r="A8" s="3"/>
      <c r="B8" s="103"/>
      <c r="C8" s="12"/>
      <c r="D8" s="13"/>
      <c r="E8" s="14"/>
      <c r="F8" s="10"/>
      <c r="G8" s="15" t="s">
        <v>259</v>
      </c>
    </row>
    <row r="9" spans="1:7">
      <c r="A9" s="122"/>
      <c r="B9" s="103"/>
      <c r="C9" s="34"/>
      <c r="D9" s="35"/>
      <c r="E9" s="36"/>
      <c r="F9" s="3"/>
      <c r="G9" s="31"/>
    </row>
    <row r="10" spans="1:7">
      <c r="A10" s="3"/>
      <c r="B10" s="103"/>
      <c r="C10" s="34"/>
      <c r="D10" s="35"/>
      <c r="E10" s="36"/>
      <c r="F10" s="3"/>
      <c r="G10" s="31"/>
    </row>
    <row r="11" spans="1:7">
      <c r="A11" s="3"/>
      <c r="B11" s="103"/>
      <c r="C11" s="34"/>
      <c r="D11" s="35"/>
      <c r="E11" s="36"/>
      <c r="F11" s="3"/>
      <c r="G11" s="69" t="s">
        <v>50</v>
      </c>
    </row>
    <row r="12" spans="1:7" ht="23">
      <c r="A12" s="2"/>
      <c r="B12" s="104" t="s">
        <v>6</v>
      </c>
      <c r="C12" s="12"/>
      <c r="D12" s="2"/>
      <c r="E12" s="22">
        <f>SUM(E5:E11)</f>
        <v>807500</v>
      </c>
      <c r="F12" s="2"/>
      <c r="G12" s="27" t="s">
        <v>31</v>
      </c>
    </row>
    <row r="13" spans="1:7" ht="24.5">
      <c r="A13" s="2"/>
      <c r="B13" s="21" t="s">
        <v>114</v>
      </c>
      <c r="C13" s="12"/>
      <c r="D13" s="2"/>
      <c r="E13" s="23">
        <f>E12*7%</f>
        <v>56525.000000000007</v>
      </c>
      <c r="F13" s="2"/>
      <c r="G13" s="31" t="s">
        <v>32</v>
      </c>
    </row>
    <row r="14" spans="1:7" ht="24.5">
      <c r="A14" s="2"/>
      <c r="B14" s="20" t="s">
        <v>35</v>
      </c>
      <c r="C14" s="2"/>
      <c r="D14" s="2"/>
      <c r="E14" s="24">
        <f>SUM(E12:E13)</f>
        <v>864025</v>
      </c>
      <c r="F14" s="2"/>
      <c r="G14" s="31" t="s">
        <v>459</v>
      </c>
    </row>
    <row r="15" spans="1:7" ht="24.5">
      <c r="A15" s="2"/>
      <c r="B15" s="20"/>
      <c r="C15" s="2"/>
      <c r="D15" s="2"/>
      <c r="E15" s="24"/>
      <c r="F15" s="2"/>
      <c r="G15" s="31"/>
    </row>
    <row r="16" spans="1:7" ht="33">
      <c r="A16" s="2"/>
      <c r="B16" s="26" t="s">
        <v>36</v>
      </c>
      <c r="C16" s="202" t="str">
        <f>BAHTTEXT(E14)</f>
        <v>แปดแสนหกหมื่นสี่พันยี่สิบห้าบาทถ้วน</v>
      </c>
      <c r="D16" s="203"/>
      <c r="E16" s="203"/>
      <c r="F16" s="203"/>
      <c r="G16" s="204"/>
    </row>
  </sheetData>
  <mergeCells count="6">
    <mergeCell ref="C16:G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2E4CA-4718-4354-A114-65C0DA73CA1B}">
  <sheetPr>
    <pageSetUpPr fitToPage="1"/>
  </sheetPr>
  <dimension ref="A2:G27"/>
  <sheetViews>
    <sheetView zoomScale="115" zoomScaleNormal="115" workbookViewId="0">
      <selection activeCell="A2" sqref="A2:G27"/>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2" t="s">
        <v>455</v>
      </c>
      <c r="C5" s="54">
        <v>1</v>
      </c>
      <c r="D5" s="55">
        <v>25000</v>
      </c>
      <c r="E5" s="56">
        <f>D5*C5</f>
        <v>25000</v>
      </c>
      <c r="F5" s="52">
        <v>30</v>
      </c>
      <c r="G5" s="57" t="s">
        <v>161</v>
      </c>
    </row>
    <row r="6" spans="1:7">
      <c r="A6" s="52"/>
      <c r="B6" s="72" t="s">
        <v>456</v>
      </c>
      <c r="C6" s="54"/>
      <c r="D6" s="55"/>
      <c r="E6" s="58"/>
      <c r="F6" s="52"/>
      <c r="G6" s="27" t="s">
        <v>285</v>
      </c>
    </row>
    <row r="7" spans="1:7">
      <c r="A7" s="52"/>
      <c r="B7" s="72" t="s">
        <v>457</v>
      </c>
      <c r="C7" s="54"/>
      <c r="D7" s="55"/>
      <c r="E7" s="58"/>
      <c r="F7" s="52"/>
      <c r="G7" s="27" t="s">
        <v>28</v>
      </c>
    </row>
    <row r="8" spans="1:7">
      <c r="A8" s="52"/>
      <c r="B8" s="72" t="s">
        <v>458</v>
      </c>
      <c r="C8" s="54"/>
      <c r="D8" s="55"/>
      <c r="E8" s="58"/>
      <c r="F8" s="52"/>
      <c r="G8" s="27" t="s">
        <v>29</v>
      </c>
    </row>
    <row r="9" spans="1:7">
      <c r="A9" s="52"/>
      <c r="B9" s="75"/>
      <c r="C9" s="54"/>
      <c r="D9" s="55"/>
      <c r="E9" s="56"/>
      <c r="F9" s="52"/>
      <c r="G9" s="27"/>
    </row>
    <row r="10" spans="1:7">
      <c r="A10" s="52"/>
      <c r="B10" s="72"/>
      <c r="C10" s="54"/>
      <c r="D10" s="55"/>
      <c r="E10" s="58"/>
      <c r="F10" s="52"/>
      <c r="G10" s="60" t="s">
        <v>162</v>
      </c>
    </row>
    <row r="11" spans="1:7">
      <c r="A11" s="52"/>
      <c r="B11" s="72"/>
      <c r="C11" s="54"/>
      <c r="D11" s="55"/>
      <c r="E11" s="58"/>
      <c r="F11" s="52"/>
      <c r="G11" s="61" t="s">
        <v>31</v>
      </c>
    </row>
    <row r="12" spans="1:7">
      <c r="A12" s="52"/>
      <c r="B12" s="53"/>
      <c r="C12" s="54"/>
      <c r="D12" s="55"/>
      <c r="E12" s="58"/>
      <c r="F12" s="52"/>
      <c r="G12" s="27" t="s">
        <v>279</v>
      </c>
    </row>
    <row r="13" spans="1:7">
      <c r="A13" s="52"/>
      <c r="B13" s="53"/>
      <c r="C13" s="54"/>
      <c r="D13" s="55"/>
      <c r="E13" s="58"/>
      <c r="F13" s="52"/>
      <c r="G13" s="27" t="s">
        <v>259</v>
      </c>
    </row>
    <row r="14" spans="1:7">
      <c r="A14" s="52"/>
      <c r="B14" s="53"/>
      <c r="C14" s="54"/>
      <c r="D14" s="55"/>
      <c r="E14" s="58"/>
      <c r="F14" s="52"/>
      <c r="G14" s="27"/>
    </row>
    <row r="15" spans="1:7" ht="41" hidden="1">
      <c r="A15" s="52"/>
      <c r="B15" s="53"/>
      <c r="C15" s="54"/>
      <c r="D15" s="55"/>
      <c r="E15" s="58"/>
      <c r="F15" s="52"/>
      <c r="G15" s="69" t="s">
        <v>164</v>
      </c>
    </row>
    <row r="16" spans="1:7" hidden="1">
      <c r="A16" s="52"/>
      <c r="B16" s="53"/>
      <c r="C16" s="54"/>
      <c r="D16" s="55"/>
      <c r="E16" s="58"/>
      <c r="F16" s="52"/>
      <c r="G16" s="59" t="s">
        <v>173</v>
      </c>
    </row>
    <row r="17" spans="1:7" hidden="1">
      <c r="A17" s="52"/>
      <c r="B17" s="53"/>
      <c r="C17" s="54"/>
      <c r="D17" s="55"/>
      <c r="E17" s="58"/>
      <c r="F17" s="52"/>
      <c r="G17" s="27" t="s">
        <v>173</v>
      </c>
    </row>
    <row r="18" spans="1:7" hidden="1">
      <c r="A18" s="52"/>
      <c r="B18" s="53"/>
      <c r="C18" s="54"/>
      <c r="D18" s="55"/>
      <c r="E18" s="58"/>
      <c r="F18" s="52"/>
      <c r="G18" s="27" t="s">
        <v>173</v>
      </c>
    </row>
    <row r="19" spans="1:7" hidden="1">
      <c r="A19" s="52"/>
      <c r="B19" s="53"/>
      <c r="C19" s="54"/>
      <c r="D19" s="55"/>
      <c r="E19" s="58"/>
      <c r="F19" s="52"/>
      <c r="G19" s="28" t="s">
        <v>165</v>
      </c>
    </row>
    <row r="20" spans="1:7" hidden="1">
      <c r="A20" s="52"/>
      <c r="B20" s="53"/>
      <c r="C20" s="54"/>
      <c r="D20" s="55"/>
      <c r="E20" s="58"/>
      <c r="F20" s="52"/>
      <c r="G20" s="70" t="s">
        <v>166</v>
      </c>
    </row>
    <row r="21" spans="1:7" hidden="1">
      <c r="A21" s="52"/>
      <c r="B21" s="53"/>
      <c r="C21" s="54"/>
      <c r="D21" s="55"/>
      <c r="E21" s="58"/>
      <c r="F21" s="52"/>
      <c r="G21" s="70" t="s">
        <v>167</v>
      </c>
    </row>
    <row r="22" spans="1:7" hidden="1">
      <c r="A22" s="52"/>
      <c r="B22" s="53"/>
      <c r="C22" s="54"/>
      <c r="D22" s="55"/>
      <c r="E22" s="58"/>
      <c r="F22" s="52"/>
      <c r="G22" s="70" t="s">
        <v>168</v>
      </c>
    </row>
    <row r="23" spans="1:7" ht="23">
      <c r="A23" s="62"/>
      <c r="B23" s="63" t="s">
        <v>6</v>
      </c>
      <c r="C23" s="54"/>
      <c r="D23" s="62"/>
      <c r="E23" s="64">
        <f>SUM(E5:E22)</f>
        <v>25000</v>
      </c>
      <c r="F23" s="62"/>
      <c r="G23" s="2"/>
    </row>
    <row r="24" spans="1:7" ht="24.5">
      <c r="A24" s="62"/>
      <c r="B24" s="63" t="s">
        <v>34</v>
      </c>
      <c r="C24" s="54"/>
      <c r="D24" s="62"/>
      <c r="E24" s="65">
        <f>E23*0%</f>
        <v>0</v>
      </c>
      <c r="F24" s="62"/>
      <c r="G24" s="2"/>
    </row>
    <row r="25" spans="1:7" ht="24.5">
      <c r="A25" s="62"/>
      <c r="B25" s="66" t="s">
        <v>35</v>
      </c>
      <c r="C25" s="62"/>
      <c r="D25" s="62"/>
      <c r="E25" s="67">
        <f>SUM(E23:E24)</f>
        <v>25000</v>
      </c>
      <c r="F25" s="62"/>
      <c r="G25" s="62"/>
    </row>
    <row r="26" spans="1:7" ht="24.5">
      <c r="A26" s="62"/>
      <c r="B26" s="66"/>
      <c r="C26" s="62"/>
      <c r="D26" s="62"/>
      <c r="E26" s="67"/>
      <c r="F26" s="62"/>
      <c r="G26" s="62"/>
    </row>
    <row r="27" spans="1:7" ht="33">
      <c r="A27" s="62"/>
      <c r="B27" s="68" t="s">
        <v>36</v>
      </c>
      <c r="C27" s="197" t="str">
        <f>BAHTTEXT(E25)</f>
        <v>สองหมื่นห้าพันบาทถ้วน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5DF2-E8A9-4FFA-B68E-3F87453F3702}">
  <dimension ref="A2:G16"/>
  <sheetViews>
    <sheetView zoomScale="85" zoomScaleNormal="85" workbookViewId="0">
      <selection activeCell="B5" sqref="B5:B8"/>
    </sheetView>
  </sheetViews>
  <sheetFormatPr defaultColWidth="9.08203125" defaultRowHeight="20.5"/>
  <cols>
    <col min="1" max="1" width="9.08203125" style="1"/>
    <col min="2" max="2" width="44.7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41">
      <c r="A5" s="3">
        <v>1</v>
      </c>
      <c r="B5" s="123" t="s">
        <v>448</v>
      </c>
      <c r="C5" s="12">
        <v>10</v>
      </c>
      <c r="D5" s="13">
        <v>850</v>
      </c>
      <c r="E5" s="14">
        <f t="shared" ref="E5:E6" si="0">+C5*D5</f>
        <v>8500</v>
      </c>
      <c r="F5" s="10">
        <v>30</v>
      </c>
      <c r="G5" s="29" t="s">
        <v>51</v>
      </c>
    </row>
    <row r="6" spans="1:7" ht="41">
      <c r="A6" s="3">
        <v>2</v>
      </c>
      <c r="B6" s="103" t="s">
        <v>444</v>
      </c>
      <c r="C6" s="12">
        <v>10</v>
      </c>
      <c r="D6" s="38">
        <v>390</v>
      </c>
      <c r="E6" s="14">
        <f t="shared" si="0"/>
        <v>3900</v>
      </c>
      <c r="F6" s="10">
        <v>30</v>
      </c>
      <c r="G6" s="15" t="s">
        <v>29</v>
      </c>
    </row>
    <row r="7" spans="1:7">
      <c r="A7" s="3">
        <v>3</v>
      </c>
      <c r="B7" s="103" t="s">
        <v>449</v>
      </c>
      <c r="C7" s="34">
        <v>10</v>
      </c>
      <c r="D7" s="35">
        <v>520</v>
      </c>
      <c r="E7" s="36">
        <f>+C7*D7</f>
        <v>5200</v>
      </c>
      <c r="F7" s="3">
        <v>30</v>
      </c>
      <c r="G7" s="31" t="s">
        <v>259</v>
      </c>
    </row>
    <row r="8" spans="1:7" ht="41">
      <c r="A8" s="3">
        <v>4</v>
      </c>
      <c r="B8" s="103" t="s">
        <v>445</v>
      </c>
      <c r="C8" s="12">
        <v>8</v>
      </c>
      <c r="D8" s="13">
        <v>400</v>
      </c>
      <c r="E8" s="14">
        <f>+C8*D8</f>
        <v>3200</v>
      </c>
      <c r="F8" s="10">
        <v>30</v>
      </c>
      <c r="G8" s="15" t="s">
        <v>285</v>
      </c>
    </row>
    <row r="9" spans="1:7">
      <c r="A9" s="122">
        <v>5</v>
      </c>
      <c r="B9" s="103" t="s">
        <v>446</v>
      </c>
      <c r="C9" s="34">
        <v>10</v>
      </c>
      <c r="D9" s="35">
        <v>250</v>
      </c>
      <c r="E9" s="36">
        <f>+C9*D9</f>
        <v>2500</v>
      </c>
      <c r="F9" s="3">
        <v>30</v>
      </c>
      <c r="G9" s="31"/>
    </row>
    <row r="10" spans="1:7">
      <c r="A10" s="3"/>
      <c r="B10" s="103"/>
      <c r="C10" s="34"/>
      <c r="D10" s="35"/>
      <c r="E10" s="36"/>
      <c r="F10" s="3"/>
      <c r="G10" s="31"/>
    </row>
    <row r="11" spans="1:7">
      <c r="A11" s="3"/>
      <c r="B11" s="103"/>
      <c r="C11" s="34"/>
      <c r="D11" s="35"/>
      <c r="E11" s="36"/>
      <c r="F11" s="3"/>
      <c r="G11" s="69" t="s">
        <v>50</v>
      </c>
    </row>
    <row r="12" spans="1:7" ht="23">
      <c r="A12" s="2"/>
      <c r="B12" s="104" t="s">
        <v>6</v>
      </c>
      <c r="C12" s="12"/>
      <c r="D12" s="2"/>
      <c r="E12" s="22">
        <f>SUM(E5:E11)</f>
        <v>23300</v>
      </c>
      <c r="F12" s="2"/>
      <c r="G12" s="27" t="s">
        <v>31</v>
      </c>
    </row>
    <row r="13" spans="1:7" ht="24.5">
      <c r="A13" s="2"/>
      <c r="B13" s="21" t="s">
        <v>114</v>
      </c>
      <c r="C13" s="12"/>
      <c r="D13" s="2"/>
      <c r="E13" s="23">
        <f>E12*7%</f>
        <v>1631.0000000000002</v>
      </c>
      <c r="F13" s="2"/>
      <c r="G13" s="31" t="s">
        <v>33</v>
      </c>
    </row>
    <row r="14" spans="1:7" ht="24.5">
      <c r="A14" s="2"/>
      <c r="B14" s="20" t="s">
        <v>35</v>
      </c>
      <c r="C14" s="2"/>
      <c r="D14" s="2"/>
      <c r="E14" s="24">
        <f>SUM(E12:E13)</f>
        <v>24931</v>
      </c>
      <c r="F14" s="2"/>
      <c r="G14" s="31" t="s">
        <v>238</v>
      </c>
    </row>
    <row r="15" spans="1:7" ht="24.5">
      <c r="A15" s="2"/>
      <c r="B15" s="20"/>
      <c r="C15" s="2"/>
      <c r="D15" s="2"/>
      <c r="E15" s="24"/>
      <c r="F15" s="2"/>
      <c r="G15" s="31"/>
    </row>
    <row r="16" spans="1:7" ht="33">
      <c r="A16" s="2"/>
      <c r="B16" s="26" t="s">
        <v>36</v>
      </c>
      <c r="C16" s="202" t="str">
        <f>BAHTTEXT(E14)</f>
        <v>สองหมื่นสี่พันเก้าร้อยสามสิบเอ็ดบาทถ้วน</v>
      </c>
      <c r="D16" s="203"/>
      <c r="E16" s="203"/>
      <c r="F16" s="203"/>
      <c r="G16" s="204"/>
    </row>
  </sheetData>
  <mergeCells count="6">
    <mergeCell ref="C16:G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3CE66-B7BA-45C6-B7F3-3917DCDEC7CA}">
  <sheetPr>
    <pageSetUpPr fitToPage="1"/>
  </sheetPr>
  <dimension ref="A2:G27"/>
  <sheetViews>
    <sheetView zoomScale="85" zoomScaleNormal="85" workbookViewId="0">
      <selection activeCell="G27" sqref="G27"/>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2" t="s">
        <v>454</v>
      </c>
      <c r="C5" s="54">
        <v>1</v>
      </c>
      <c r="D5" s="55">
        <v>64770</v>
      </c>
      <c r="E5" s="56">
        <f>D5*C5</f>
        <v>64770</v>
      </c>
      <c r="F5" s="52">
        <v>30</v>
      </c>
      <c r="G5" s="57" t="s">
        <v>161</v>
      </c>
    </row>
    <row r="6" spans="1:7">
      <c r="A6" s="52"/>
      <c r="B6" s="72"/>
      <c r="C6" s="54"/>
      <c r="D6" s="55"/>
      <c r="E6" s="58"/>
      <c r="F6" s="52"/>
      <c r="G6" s="27" t="s">
        <v>29</v>
      </c>
    </row>
    <row r="7" spans="1:7">
      <c r="A7" s="52"/>
      <c r="B7" s="72"/>
      <c r="C7" s="54"/>
      <c r="D7" s="55"/>
      <c r="E7" s="58"/>
      <c r="F7" s="52"/>
      <c r="G7" s="27" t="s">
        <v>28</v>
      </c>
    </row>
    <row r="8" spans="1:7">
      <c r="A8" s="52"/>
      <c r="B8" s="72"/>
      <c r="C8" s="54"/>
      <c r="D8" s="55"/>
      <c r="E8" s="58"/>
      <c r="F8" s="52"/>
      <c r="G8" s="27" t="s">
        <v>285</v>
      </c>
    </row>
    <row r="9" spans="1:7">
      <c r="A9" s="52"/>
      <c r="B9" s="75"/>
      <c r="C9" s="54"/>
      <c r="D9" s="55"/>
      <c r="E9" s="56"/>
      <c r="F9" s="52"/>
      <c r="G9" s="100"/>
    </row>
    <row r="10" spans="1:7">
      <c r="A10" s="52"/>
      <c r="B10" s="72"/>
      <c r="C10" s="54"/>
      <c r="D10" s="55"/>
      <c r="E10" s="58"/>
      <c r="F10" s="52"/>
      <c r="G10" s="60" t="s">
        <v>162</v>
      </c>
    </row>
    <row r="11" spans="1:7">
      <c r="A11" s="52"/>
      <c r="B11" s="72"/>
      <c r="C11" s="54"/>
      <c r="D11" s="55"/>
      <c r="E11" s="58"/>
      <c r="F11" s="52"/>
      <c r="G11" s="61" t="s">
        <v>31</v>
      </c>
    </row>
    <row r="12" spans="1:7">
      <c r="A12" s="52"/>
      <c r="B12" s="53"/>
      <c r="C12" s="54"/>
      <c r="D12" s="55"/>
      <c r="E12" s="58"/>
      <c r="F12" s="52"/>
      <c r="G12" s="27" t="s">
        <v>33</v>
      </c>
    </row>
    <row r="13" spans="1:7">
      <c r="A13" s="52"/>
      <c r="B13" s="53"/>
      <c r="C13" s="54"/>
      <c r="D13" s="55"/>
      <c r="E13" s="58"/>
      <c r="F13" s="52"/>
      <c r="G13" s="27" t="s">
        <v>279</v>
      </c>
    </row>
    <row r="14" spans="1:7">
      <c r="A14" s="52"/>
      <c r="B14" s="53"/>
      <c r="C14" s="54"/>
      <c r="D14" s="55"/>
      <c r="E14" s="58"/>
      <c r="F14" s="52"/>
      <c r="G14" s="59"/>
    </row>
    <row r="15" spans="1:7" ht="41" hidden="1">
      <c r="A15" s="52"/>
      <c r="B15" s="53"/>
      <c r="C15" s="54"/>
      <c r="D15" s="55"/>
      <c r="E15" s="58"/>
      <c r="F15" s="52"/>
      <c r="G15" s="69" t="s">
        <v>164</v>
      </c>
    </row>
    <row r="16" spans="1:7" hidden="1">
      <c r="A16" s="52"/>
      <c r="B16" s="53"/>
      <c r="C16" s="54"/>
      <c r="D16" s="55"/>
      <c r="E16" s="58"/>
      <c r="F16" s="52"/>
      <c r="G16" s="59" t="s">
        <v>173</v>
      </c>
    </row>
    <row r="17" spans="1:7" hidden="1">
      <c r="A17" s="52"/>
      <c r="B17" s="53"/>
      <c r="C17" s="54"/>
      <c r="D17" s="55"/>
      <c r="E17" s="58"/>
      <c r="F17" s="52"/>
      <c r="G17" s="27" t="s">
        <v>173</v>
      </c>
    </row>
    <row r="18" spans="1:7" hidden="1">
      <c r="A18" s="52"/>
      <c r="B18" s="53"/>
      <c r="C18" s="54"/>
      <c r="D18" s="55"/>
      <c r="E18" s="58"/>
      <c r="F18" s="52"/>
      <c r="G18" s="27" t="s">
        <v>173</v>
      </c>
    </row>
    <row r="19" spans="1:7" hidden="1">
      <c r="A19" s="52"/>
      <c r="B19" s="53"/>
      <c r="C19" s="54"/>
      <c r="D19" s="55"/>
      <c r="E19" s="58"/>
      <c r="F19" s="52"/>
      <c r="G19" s="28" t="s">
        <v>165</v>
      </c>
    </row>
    <row r="20" spans="1:7" hidden="1">
      <c r="A20" s="52"/>
      <c r="B20" s="53"/>
      <c r="C20" s="54"/>
      <c r="D20" s="55"/>
      <c r="E20" s="58"/>
      <c r="F20" s="52"/>
      <c r="G20" s="70" t="s">
        <v>166</v>
      </c>
    </row>
    <row r="21" spans="1:7" hidden="1">
      <c r="A21" s="52"/>
      <c r="B21" s="53"/>
      <c r="C21" s="54"/>
      <c r="D21" s="55"/>
      <c r="E21" s="58"/>
      <c r="F21" s="52"/>
      <c r="G21" s="70" t="s">
        <v>167</v>
      </c>
    </row>
    <row r="22" spans="1:7" hidden="1">
      <c r="A22" s="52"/>
      <c r="B22" s="53"/>
      <c r="C22" s="54"/>
      <c r="D22" s="55"/>
      <c r="E22" s="58"/>
      <c r="F22" s="52"/>
      <c r="G22" s="70" t="s">
        <v>168</v>
      </c>
    </row>
    <row r="23" spans="1:7" ht="23">
      <c r="A23" s="62"/>
      <c r="B23" s="63" t="s">
        <v>6</v>
      </c>
      <c r="C23" s="54"/>
      <c r="D23" s="62"/>
      <c r="E23" s="64">
        <f>SUM(E5:E22)</f>
        <v>64770</v>
      </c>
      <c r="F23" s="62"/>
      <c r="G23" s="2"/>
    </row>
    <row r="24" spans="1:7" ht="24.5">
      <c r="A24" s="62"/>
      <c r="B24" s="63" t="s">
        <v>34</v>
      </c>
      <c r="C24" s="54"/>
      <c r="D24" s="62"/>
      <c r="E24" s="65">
        <f>E23*0%</f>
        <v>0</v>
      </c>
      <c r="F24" s="62"/>
      <c r="G24" s="2"/>
    </row>
    <row r="25" spans="1:7" ht="24.5">
      <c r="A25" s="62"/>
      <c r="B25" s="66" t="s">
        <v>35</v>
      </c>
      <c r="C25" s="62"/>
      <c r="D25" s="62"/>
      <c r="E25" s="67">
        <f>SUM(E23:E24)</f>
        <v>64770</v>
      </c>
      <c r="F25" s="62"/>
      <c r="G25" s="62"/>
    </row>
    <row r="26" spans="1:7" ht="24.5">
      <c r="A26" s="62"/>
      <c r="B26" s="66"/>
      <c r="C26" s="62"/>
      <c r="D26" s="62"/>
      <c r="E26" s="67"/>
      <c r="F26" s="62"/>
      <c r="G26" s="62"/>
    </row>
    <row r="27" spans="1:7" ht="33">
      <c r="A27" s="62"/>
      <c r="B27" s="68" t="s">
        <v>36</v>
      </c>
      <c r="C27" s="197" t="str">
        <f>BAHTTEXT(E25)</f>
        <v>หกหมื่นสี่พันเจ็ดร้อยเจ็ดสิบบาทถ้วน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48AA-9891-45AA-9FAC-146D728AD911}">
  <sheetPr>
    <pageSetUpPr fitToPage="1"/>
  </sheetPr>
  <dimension ref="A2:G27"/>
  <sheetViews>
    <sheetView zoomScale="85" zoomScaleNormal="85" workbookViewId="0">
      <selection activeCell="B26" sqref="B26"/>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2" t="s">
        <v>284</v>
      </c>
      <c r="C5" s="54">
        <v>2</v>
      </c>
      <c r="D5" s="55">
        <v>3600</v>
      </c>
      <c r="E5" s="56">
        <f>D5*C5</f>
        <v>7200</v>
      </c>
      <c r="F5" s="52">
        <v>30</v>
      </c>
      <c r="G5" s="57" t="s">
        <v>161</v>
      </c>
    </row>
    <row r="6" spans="1:7">
      <c r="A6" s="52"/>
      <c r="B6" s="72" t="s">
        <v>450</v>
      </c>
      <c r="C6" s="54"/>
      <c r="D6" s="55"/>
      <c r="E6" s="58"/>
      <c r="F6" s="52"/>
      <c r="G6" s="27" t="s">
        <v>29</v>
      </c>
    </row>
    <row r="7" spans="1:7">
      <c r="A7" s="52"/>
      <c r="B7" s="72" t="s">
        <v>451</v>
      </c>
      <c r="C7" s="54"/>
      <c r="D7" s="55"/>
      <c r="E7" s="58"/>
      <c r="F7" s="52"/>
      <c r="G7" s="27" t="s">
        <v>28</v>
      </c>
    </row>
    <row r="8" spans="1:7">
      <c r="A8" s="52"/>
      <c r="B8" s="72" t="s">
        <v>452</v>
      </c>
      <c r="C8" s="54"/>
      <c r="D8" s="55"/>
      <c r="E8" s="58"/>
      <c r="F8" s="52"/>
      <c r="G8" s="27" t="s">
        <v>285</v>
      </c>
    </row>
    <row r="9" spans="1:7">
      <c r="A9" s="52"/>
      <c r="B9" s="75" t="s">
        <v>453</v>
      </c>
      <c r="C9" s="54"/>
      <c r="D9" s="55"/>
      <c r="E9" s="56"/>
      <c r="F9" s="52"/>
      <c r="G9" s="100"/>
    </row>
    <row r="10" spans="1:7">
      <c r="A10" s="52"/>
      <c r="B10" s="72"/>
      <c r="C10" s="54"/>
      <c r="D10" s="55"/>
      <c r="E10" s="58"/>
      <c r="F10" s="52"/>
      <c r="G10" s="60" t="s">
        <v>162</v>
      </c>
    </row>
    <row r="11" spans="1:7">
      <c r="A11" s="52"/>
      <c r="B11" s="72"/>
      <c r="C11" s="54"/>
      <c r="D11" s="55"/>
      <c r="E11" s="58"/>
      <c r="F11" s="52"/>
      <c r="G11" s="61" t="s">
        <v>31</v>
      </c>
    </row>
    <row r="12" spans="1:7">
      <c r="A12" s="52"/>
      <c r="B12" s="53"/>
      <c r="C12" s="54"/>
      <c r="D12" s="55"/>
      <c r="E12" s="58"/>
      <c r="F12" s="52"/>
      <c r="G12" s="27" t="s">
        <v>33</v>
      </c>
    </row>
    <row r="13" spans="1:7">
      <c r="A13" s="52"/>
      <c r="B13" s="53"/>
      <c r="C13" s="54"/>
      <c r="D13" s="55"/>
      <c r="E13" s="58"/>
      <c r="F13" s="52"/>
      <c r="G13" s="27" t="s">
        <v>279</v>
      </c>
    </row>
    <row r="14" spans="1:7">
      <c r="A14" s="52"/>
      <c r="B14" s="53"/>
      <c r="C14" s="54"/>
      <c r="D14" s="55"/>
      <c r="E14" s="58"/>
      <c r="F14" s="52"/>
      <c r="G14" s="59"/>
    </row>
    <row r="15" spans="1:7" ht="41" hidden="1">
      <c r="A15" s="52"/>
      <c r="B15" s="53"/>
      <c r="C15" s="54"/>
      <c r="D15" s="55"/>
      <c r="E15" s="58"/>
      <c r="F15" s="52"/>
      <c r="G15" s="69" t="s">
        <v>164</v>
      </c>
    </row>
    <row r="16" spans="1:7" hidden="1">
      <c r="A16" s="52"/>
      <c r="B16" s="53"/>
      <c r="C16" s="54"/>
      <c r="D16" s="55"/>
      <c r="E16" s="58"/>
      <c r="F16" s="52"/>
      <c r="G16" s="59" t="s">
        <v>173</v>
      </c>
    </row>
    <row r="17" spans="1:7" hidden="1">
      <c r="A17" s="52"/>
      <c r="B17" s="53"/>
      <c r="C17" s="54"/>
      <c r="D17" s="55"/>
      <c r="E17" s="58"/>
      <c r="F17" s="52"/>
      <c r="G17" s="27" t="s">
        <v>173</v>
      </c>
    </row>
    <row r="18" spans="1:7" hidden="1">
      <c r="A18" s="52"/>
      <c r="B18" s="53"/>
      <c r="C18" s="54"/>
      <c r="D18" s="55"/>
      <c r="E18" s="58"/>
      <c r="F18" s="52"/>
      <c r="G18" s="27" t="s">
        <v>173</v>
      </c>
    </row>
    <row r="19" spans="1:7" hidden="1">
      <c r="A19" s="52"/>
      <c r="B19" s="53"/>
      <c r="C19" s="54"/>
      <c r="D19" s="55"/>
      <c r="E19" s="58"/>
      <c r="F19" s="52"/>
      <c r="G19" s="28" t="s">
        <v>165</v>
      </c>
    </row>
    <row r="20" spans="1:7" hidden="1">
      <c r="A20" s="52"/>
      <c r="B20" s="53"/>
      <c r="C20" s="54"/>
      <c r="D20" s="55"/>
      <c r="E20" s="58"/>
      <c r="F20" s="52"/>
      <c r="G20" s="70" t="s">
        <v>166</v>
      </c>
    </row>
    <row r="21" spans="1:7" hidden="1">
      <c r="A21" s="52"/>
      <c r="B21" s="53"/>
      <c r="C21" s="54"/>
      <c r="D21" s="55"/>
      <c r="E21" s="58"/>
      <c r="F21" s="52"/>
      <c r="G21" s="70" t="s">
        <v>167</v>
      </c>
    </row>
    <row r="22" spans="1:7" hidden="1">
      <c r="A22" s="52"/>
      <c r="B22" s="53"/>
      <c r="C22" s="54"/>
      <c r="D22" s="55"/>
      <c r="E22" s="58"/>
      <c r="F22" s="52"/>
      <c r="G22" s="70" t="s">
        <v>168</v>
      </c>
    </row>
    <row r="23" spans="1:7" ht="23">
      <c r="A23" s="62"/>
      <c r="B23" s="63" t="s">
        <v>6</v>
      </c>
      <c r="C23" s="54"/>
      <c r="D23" s="62"/>
      <c r="E23" s="64">
        <f>SUM(E5:E22)</f>
        <v>7200</v>
      </c>
      <c r="F23" s="62"/>
      <c r="G23" s="2"/>
    </row>
    <row r="24" spans="1:7" ht="24.5">
      <c r="A24" s="62"/>
      <c r="B24" s="63" t="s">
        <v>34</v>
      </c>
      <c r="C24" s="54"/>
      <c r="D24" s="62"/>
      <c r="E24" s="65">
        <f>E23*0%</f>
        <v>0</v>
      </c>
      <c r="F24" s="62"/>
      <c r="G24" s="2"/>
    </row>
    <row r="25" spans="1:7" ht="24.5">
      <c r="A25" s="62"/>
      <c r="B25" s="66" t="s">
        <v>35</v>
      </c>
      <c r="C25" s="62"/>
      <c r="D25" s="62"/>
      <c r="E25" s="67">
        <f>SUM(E23:E24)</f>
        <v>7200</v>
      </c>
      <c r="F25" s="62"/>
      <c r="G25" s="62"/>
    </row>
    <row r="26" spans="1:7" ht="24.5">
      <c r="A26" s="62"/>
      <c r="B26" s="66"/>
      <c r="C26" s="62"/>
      <c r="D26" s="62"/>
      <c r="E26" s="67"/>
      <c r="F26" s="62"/>
      <c r="G26" s="62"/>
    </row>
    <row r="27" spans="1:7" ht="33">
      <c r="A27" s="62"/>
      <c r="B27" s="68" t="s">
        <v>36</v>
      </c>
      <c r="C27" s="197" t="str">
        <f>BAHTTEXT(E25)</f>
        <v>เจ็ดพันสองร้อยบาทถ้วน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D684-B533-47AC-83CF-35AB8DB5CE2F}">
  <dimension ref="A2:G16"/>
  <sheetViews>
    <sheetView zoomScale="85" zoomScaleNormal="85" workbookViewId="0">
      <selection activeCell="A2" sqref="A2:G16"/>
    </sheetView>
  </sheetViews>
  <sheetFormatPr defaultColWidth="9.08203125" defaultRowHeight="20.5"/>
  <cols>
    <col min="1" max="1" width="9.08203125" style="1"/>
    <col min="2" max="2" width="44.7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46" t="s">
        <v>447</v>
      </c>
      <c r="C5" s="34">
        <v>5</v>
      </c>
      <c r="D5" s="35">
        <v>700</v>
      </c>
      <c r="E5" s="36">
        <f t="shared" ref="E5:E11" si="0">+C5*D5</f>
        <v>3500</v>
      </c>
      <c r="F5" s="3">
        <v>60</v>
      </c>
      <c r="G5" s="29" t="s">
        <v>51</v>
      </c>
    </row>
    <row r="6" spans="1:7" ht="41">
      <c r="A6" s="3">
        <v>2</v>
      </c>
      <c r="B6" s="31" t="s">
        <v>322</v>
      </c>
      <c r="C6" s="34">
        <v>20</v>
      </c>
      <c r="D6" s="108">
        <v>550</v>
      </c>
      <c r="E6" s="36">
        <f t="shared" si="0"/>
        <v>11000</v>
      </c>
      <c r="F6" s="3">
        <v>60</v>
      </c>
      <c r="G6" s="31" t="s">
        <v>29</v>
      </c>
    </row>
    <row r="7" spans="1:7" ht="41">
      <c r="A7" s="3">
        <v>3</v>
      </c>
      <c r="B7" s="107" t="s">
        <v>448</v>
      </c>
      <c r="C7" s="34">
        <v>10</v>
      </c>
      <c r="D7" s="35">
        <v>850</v>
      </c>
      <c r="E7" s="36">
        <f>+C7*D7</f>
        <v>8500</v>
      </c>
      <c r="F7" s="3">
        <v>60</v>
      </c>
      <c r="G7" s="31" t="s">
        <v>259</v>
      </c>
    </row>
    <row r="8" spans="1:7" ht="41">
      <c r="A8" s="3">
        <v>4</v>
      </c>
      <c r="B8" s="103" t="s">
        <v>444</v>
      </c>
      <c r="C8" s="34">
        <v>15</v>
      </c>
      <c r="D8" s="35">
        <v>390</v>
      </c>
      <c r="E8" s="36">
        <f>+C8*D8</f>
        <v>5850</v>
      </c>
      <c r="F8" s="3">
        <v>60</v>
      </c>
      <c r="G8" s="31" t="s">
        <v>285</v>
      </c>
    </row>
    <row r="9" spans="1:7">
      <c r="A9" s="122">
        <v>5</v>
      </c>
      <c r="B9" s="103" t="s">
        <v>449</v>
      </c>
      <c r="C9" s="34">
        <v>15</v>
      </c>
      <c r="D9" s="35">
        <v>520</v>
      </c>
      <c r="E9" s="36">
        <f>+C9*D9</f>
        <v>7800</v>
      </c>
      <c r="F9" s="3">
        <v>60</v>
      </c>
      <c r="G9" s="31"/>
    </row>
    <row r="10" spans="1:7" ht="41">
      <c r="A10" s="3">
        <v>6</v>
      </c>
      <c r="B10" s="103" t="s">
        <v>445</v>
      </c>
      <c r="C10" s="34">
        <v>8</v>
      </c>
      <c r="D10" s="35">
        <v>400</v>
      </c>
      <c r="E10" s="36">
        <f t="shared" si="0"/>
        <v>3200</v>
      </c>
      <c r="F10" s="3">
        <v>60</v>
      </c>
      <c r="G10" s="31"/>
    </row>
    <row r="11" spans="1:7">
      <c r="A11" s="3">
        <v>7</v>
      </c>
      <c r="B11" s="103" t="s">
        <v>446</v>
      </c>
      <c r="C11" s="34">
        <v>20</v>
      </c>
      <c r="D11" s="35">
        <v>250</v>
      </c>
      <c r="E11" s="36">
        <f t="shared" si="0"/>
        <v>5000</v>
      </c>
      <c r="F11" s="3">
        <v>60</v>
      </c>
      <c r="G11" s="69" t="s">
        <v>50</v>
      </c>
    </row>
    <row r="12" spans="1:7" ht="23">
      <c r="A12" s="2"/>
      <c r="B12" s="104" t="s">
        <v>6</v>
      </c>
      <c r="C12" s="12"/>
      <c r="D12" s="2"/>
      <c r="E12" s="22">
        <f>SUM(E5:E11)</f>
        <v>44850</v>
      </c>
      <c r="F12" s="2"/>
      <c r="G12" s="27" t="s">
        <v>31</v>
      </c>
    </row>
    <row r="13" spans="1:7" ht="24.5">
      <c r="A13" s="2"/>
      <c r="B13" s="21" t="s">
        <v>114</v>
      </c>
      <c r="C13" s="12"/>
      <c r="D13" s="2"/>
      <c r="E13" s="23">
        <f>E12*7%</f>
        <v>3139.5000000000005</v>
      </c>
      <c r="F13" s="2"/>
      <c r="G13" s="31" t="s">
        <v>33</v>
      </c>
    </row>
    <row r="14" spans="1:7" ht="24.5">
      <c r="A14" s="2"/>
      <c r="B14" s="20" t="s">
        <v>35</v>
      </c>
      <c r="C14" s="2"/>
      <c r="D14" s="2"/>
      <c r="E14" s="24">
        <f>SUM(E12:E13)</f>
        <v>47989.5</v>
      </c>
      <c r="F14" s="2"/>
      <c r="G14" s="31" t="s">
        <v>238</v>
      </c>
    </row>
    <row r="15" spans="1:7" ht="24.5">
      <c r="A15" s="2"/>
      <c r="B15" s="20"/>
      <c r="C15" s="2"/>
      <c r="D15" s="2"/>
      <c r="E15" s="24"/>
      <c r="F15" s="2"/>
      <c r="G15" s="31"/>
    </row>
    <row r="16" spans="1:7" ht="33">
      <c r="A16" s="2"/>
      <c r="B16" s="26" t="s">
        <v>36</v>
      </c>
      <c r="C16" s="202" t="str">
        <f>BAHTTEXT(E14)</f>
        <v>สี่หมื่นเจ็ดพันเก้าร้อยแปดสิบเก้าบาทห้าสิบสตางค์</v>
      </c>
      <c r="D16" s="203"/>
      <c r="E16" s="203"/>
      <c r="F16" s="203"/>
      <c r="G16" s="204"/>
    </row>
  </sheetData>
  <mergeCells count="6">
    <mergeCell ref="C16:G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0722-FF23-42C5-9794-FDB7EECAD4D1}">
  <dimension ref="A2:G37"/>
  <sheetViews>
    <sheetView topLeftCell="A14" zoomScaleNormal="100" workbookViewId="0">
      <selection activeCell="I34" sqref="I34"/>
    </sheetView>
  </sheetViews>
  <sheetFormatPr defaultColWidth="9.08203125" defaultRowHeight="20.5"/>
  <cols>
    <col min="1" max="1" width="9.08203125" style="1"/>
    <col min="2" max="2" width="44.7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46" t="s">
        <v>416</v>
      </c>
      <c r="C5" s="34">
        <v>4</v>
      </c>
      <c r="D5" s="35">
        <v>3500</v>
      </c>
      <c r="E5" s="36">
        <f t="shared" ref="E5:E32" si="0">+C5*D5</f>
        <v>14000</v>
      </c>
      <c r="F5" s="3">
        <v>30</v>
      </c>
      <c r="G5" s="2"/>
    </row>
    <row r="6" spans="1:7">
      <c r="A6" s="3">
        <v>2</v>
      </c>
      <c r="B6" s="46" t="s">
        <v>417</v>
      </c>
      <c r="C6" s="34">
        <v>4</v>
      </c>
      <c r="D6" s="35">
        <v>3000</v>
      </c>
      <c r="E6" s="36">
        <f t="shared" si="0"/>
        <v>12000</v>
      </c>
      <c r="F6" s="3">
        <v>30</v>
      </c>
      <c r="G6" s="29" t="s">
        <v>51</v>
      </c>
    </row>
    <row r="7" spans="1:7" ht="41">
      <c r="A7" s="3">
        <v>3</v>
      </c>
      <c r="B7" s="31" t="s">
        <v>418</v>
      </c>
      <c r="C7" s="34">
        <v>6</v>
      </c>
      <c r="D7" s="108">
        <v>300</v>
      </c>
      <c r="E7" s="36">
        <f t="shared" si="0"/>
        <v>1800</v>
      </c>
      <c r="F7" s="3">
        <v>30</v>
      </c>
      <c r="G7" s="31" t="s">
        <v>29</v>
      </c>
    </row>
    <row r="8" spans="1:7">
      <c r="A8" s="3">
        <v>4</v>
      </c>
      <c r="B8" s="31" t="s">
        <v>419</v>
      </c>
      <c r="C8" s="34">
        <v>10</v>
      </c>
      <c r="D8" s="108">
        <v>50</v>
      </c>
      <c r="E8" s="36">
        <f t="shared" si="0"/>
        <v>500</v>
      </c>
      <c r="F8" s="3">
        <v>30</v>
      </c>
      <c r="G8" s="31" t="s">
        <v>259</v>
      </c>
    </row>
    <row r="9" spans="1:7" ht="41">
      <c r="A9" s="3">
        <v>5</v>
      </c>
      <c r="B9" s="105" t="s">
        <v>420</v>
      </c>
      <c r="C9" s="34">
        <v>4</v>
      </c>
      <c r="D9" s="108">
        <v>50</v>
      </c>
      <c r="E9" s="36">
        <f t="shared" si="0"/>
        <v>200</v>
      </c>
      <c r="F9" s="3">
        <v>30</v>
      </c>
      <c r="G9" s="31" t="s">
        <v>285</v>
      </c>
    </row>
    <row r="10" spans="1:7" ht="41">
      <c r="A10" s="3">
        <v>6</v>
      </c>
      <c r="B10" s="107" t="s">
        <v>421</v>
      </c>
      <c r="C10" s="34">
        <v>6</v>
      </c>
      <c r="D10" s="35">
        <v>200</v>
      </c>
      <c r="E10" s="36">
        <f t="shared" si="0"/>
        <v>1200</v>
      </c>
      <c r="F10" s="3">
        <v>30</v>
      </c>
      <c r="G10" s="31"/>
    </row>
    <row r="11" spans="1:7">
      <c r="A11" s="3">
        <v>7</v>
      </c>
      <c r="B11" s="103" t="s">
        <v>422</v>
      </c>
      <c r="C11" s="34">
        <v>2</v>
      </c>
      <c r="D11" s="35">
        <v>300</v>
      </c>
      <c r="E11" s="36">
        <f t="shared" si="0"/>
        <v>600</v>
      </c>
      <c r="F11" s="3">
        <v>30</v>
      </c>
      <c r="G11" s="31"/>
    </row>
    <row r="12" spans="1:7">
      <c r="A12" s="3">
        <v>8</v>
      </c>
      <c r="B12" s="103" t="s">
        <v>423</v>
      </c>
      <c r="C12" s="34">
        <v>2</v>
      </c>
      <c r="D12" s="35">
        <v>300</v>
      </c>
      <c r="E12" s="36">
        <f t="shared" si="0"/>
        <v>600</v>
      </c>
      <c r="F12" s="3">
        <v>30</v>
      </c>
      <c r="G12" s="69" t="s">
        <v>50</v>
      </c>
    </row>
    <row r="13" spans="1:7">
      <c r="A13" s="3">
        <v>9</v>
      </c>
      <c r="B13" s="103" t="s">
        <v>424</v>
      </c>
      <c r="C13" s="34">
        <v>6</v>
      </c>
      <c r="D13" s="35">
        <v>25</v>
      </c>
      <c r="E13" s="36">
        <f t="shared" si="0"/>
        <v>150</v>
      </c>
      <c r="F13" s="3">
        <v>30</v>
      </c>
      <c r="G13" s="27" t="s">
        <v>31</v>
      </c>
    </row>
    <row r="14" spans="1:7">
      <c r="A14" s="3">
        <v>10</v>
      </c>
      <c r="B14" s="103" t="s">
        <v>425</v>
      </c>
      <c r="C14" s="34">
        <v>2</v>
      </c>
      <c r="D14" s="35">
        <v>320</v>
      </c>
      <c r="E14" s="36">
        <f t="shared" si="0"/>
        <v>640</v>
      </c>
      <c r="F14" s="3">
        <v>30</v>
      </c>
      <c r="G14" s="31" t="s">
        <v>33</v>
      </c>
    </row>
    <row r="15" spans="1:7">
      <c r="A15" s="3">
        <v>11</v>
      </c>
      <c r="B15" s="103" t="s">
        <v>426</v>
      </c>
      <c r="C15" s="34">
        <v>4</v>
      </c>
      <c r="D15" s="35">
        <v>250</v>
      </c>
      <c r="E15" s="36">
        <f t="shared" si="0"/>
        <v>1000</v>
      </c>
      <c r="F15" s="3">
        <v>30</v>
      </c>
      <c r="G15" s="31" t="s">
        <v>238</v>
      </c>
    </row>
    <row r="16" spans="1:7">
      <c r="A16" s="3">
        <v>12</v>
      </c>
      <c r="B16" s="103" t="s">
        <v>427</v>
      </c>
      <c r="C16" s="34">
        <v>20</v>
      </c>
      <c r="D16" s="35">
        <v>45</v>
      </c>
      <c r="E16" s="36">
        <f t="shared" si="0"/>
        <v>900</v>
      </c>
      <c r="F16" s="3">
        <v>30</v>
      </c>
      <c r="G16" s="31"/>
    </row>
    <row r="17" spans="1:7">
      <c r="A17" s="3">
        <v>13</v>
      </c>
      <c r="B17" s="103" t="s">
        <v>428</v>
      </c>
      <c r="C17" s="34">
        <v>2</v>
      </c>
      <c r="D17" s="35">
        <v>800</v>
      </c>
      <c r="E17" s="36">
        <f t="shared" si="0"/>
        <v>1600</v>
      </c>
      <c r="F17" s="3">
        <v>30</v>
      </c>
      <c r="G17" s="31"/>
    </row>
    <row r="18" spans="1:7">
      <c r="A18" s="3">
        <v>14</v>
      </c>
      <c r="B18" s="103" t="s">
        <v>429</v>
      </c>
      <c r="C18" s="34">
        <v>2</v>
      </c>
      <c r="D18" s="35">
        <v>200</v>
      </c>
      <c r="E18" s="36">
        <f t="shared" si="0"/>
        <v>400</v>
      </c>
      <c r="F18" s="3">
        <v>30</v>
      </c>
      <c r="G18" s="31"/>
    </row>
    <row r="19" spans="1:7">
      <c r="A19" s="3">
        <v>15</v>
      </c>
      <c r="B19" s="103" t="s">
        <v>430</v>
      </c>
      <c r="C19" s="34">
        <v>4</v>
      </c>
      <c r="D19" s="35">
        <v>35</v>
      </c>
      <c r="E19" s="36">
        <f t="shared" si="0"/>
        <v>140</v>
      </c>
      <c r="F19" s="3">
        <v>30</v>
      </c>
      <c r="G19" s="31"/>
    </row>
    <row r="20" spans="1:7">
      <c r="A20" s="3">
        <v>16</v>
      </c>
      <c r="B20" s="103" t="s">
        <v>431</v>
      </c>
      <c r="C20" s="34">
        <v>3</v>
      </c>
      <c r="D20" s="35">
        <v>80</v>
      </c>
      <c r="E20" s="36">
        <f t="shared" si="0"/>
        <v>240</v>
      </c>
      <c r="F20" s="3">
        <v>30</v>
      </c>
      <c r="G20" s="31"/>
    </row>
    <row r="21" spans="1:7">
      <c r="A21" s="3">
        <v>17</v>
      </c>
      <c r="B21" s="103" t="s">
        <v>432</v>
      </c>
      <c r="C21" s="34">
        <v>10</v>
      </c>
      <c r="D21" s="35">
        <v>65</v>
      </c>
      <c r="E21" s="36">
        <f t="shared" si="0"/>
        <v>650</v>
      </c>
      <c r="F21" s="3">
        <v>30</v>
      </c>
      <c r="G21" s="31"/>
    </row>
    <row r="22" spans="1:7">
      <c r="A22" s="121">
        <v>18</v>
      </c>
      <c r="B22" s="107" t="s">
        <v>433</v>
      </c>
      <c r="C22" s="34">
        <v>20</v>
      </c>
      <c r="D22" s="35">
        <v>35</v>
      </c>
      <c r="E22" s="36">
        <f t="shared" si="0"/>
        <v>700</v>
      </c>
      <c r="F22" s="3">
        <v>30</v>
      </c>
      <c r="G22" s="31"/>
    </row>
    <row r="23" spans="1:7">
      <c r="A23" s="3">
        <v>19</v>
      </c>
      <c r="B23" s="27" t="s">
        <v>434</v>
      </c>
      <c r="C23" s="34">
        <v>20</v>
      </c>
      <c r="D23" s="35">
        <v>30</v>
      </c>
      <c r="E23" s="36">
        <f t="shared" si="0"/>
        <v>600</v>
      </c>
      <c r="F23" s="3">
        <v>30</v>
      </c>
      <c r="G23" s="31"/>
    </row>
    <row r="24" spans="1:7">
      <c r="A24" s="121">
        <v>20</v>
      </c>
      <c r="B24" s="27" t="s">
        <v>435</v>
      </c>
      <c r="C24" s="34">
        <v>6</v>
      </c>
      <c r="D24" s="35">
        <v>170</v>
      </c>
      <c r="E24" s="36">
        <f t="shared" ref="E24:E30" si="1">+C24*D24</f>
        <v>1020</v>
      </c>
      <c r="F24" s="3">
        <v>30</v>
      </c>
      <c r="G24" s="31"/>
    </row>
    <row r="25" spans="1:7">
      <c r="A25" s="3">
        <v>21</v>
      </c>
      <c r="B25" s="27" t="s">
        <v>436</v>
      </c>
      <c r="C25" s="34">
        <v>6</v>
      </c>
      <c r="D25" s="35">
        <v>140</v>
      </c>
      <c r="E25" s="36">
        <f t="shared" si="1"/>
        <v>840</v>
      </c>
      <c r="F25" s="3">
        <v>30</v>
      </c>
      <c r="G25" s="31"/>
    </row>
    <row r="26" spans="1:7">
      <c r="A26" s="121">
        <v>22</v>
      </c>
      <c r="B26" s="27" t="s">
        <v>437</v>
      </c>
      <c r="C26" s="34">
        <v>20</v>
      </c>
      <c r="D26" s="35">
        <v>50</v>
      </c>
      <c r="E26" s="36">
        <f t="shared" si="1"/>
        <v>1000</v>
      </c>
      <c r="F26" s="3">
        <v>30</v>
      </c>
      <c r="G26" s="31"/>
    </row>
    <row r="27" spans="1:7">
      <c r="A27" s="3">
        <v>23</v>
      </c>
      <c r="B27" s="27" t="s">
        <v>438</v>
      </c>
      <c r="C27" s="34">
        <v>20</v>
      </c>
      <c r="D27" s="35">
        <v>70</v>
      </c>
      <c r="E27" s="36">
        <f t="shared" si="1"/>
        <v>1400</v>
      </c>
      <c r="F27" s="3">
        <v>30</v>
      </c>
      <c r="G27" s="31"/>
    </row>
    <row r="28" spans="1:7">
      <c r="A28" s="121">
        <v>24</v>
      </c>
      <c r="B28" s="27" t="s">
        <v>439</v>
      </c>
      <c r="C28" s="34">
        <v>20</v>
      </c>
      <c r="D28" s="35">
        <v>35</v>
      </c>
      <c r="E28" s="36">
        <f t="shared" si="1"/>
        <v>700</v>
      </c>
      <c r="F28" s="3">
        <v>30</v>
      </c>
      <c r="G28" s="31"/>
    </row>
    <row r="29" spans="1:7">
      <c r="A29" s="3">
        <v>25</v>
      </c>
      <c r="B29" s="27" t="s">
        <v>440</v>
      </c>
      <c r="C29" s="34">
        <v>20</v>
      </c>
      <c r="D29" s="35">
        <v>110</v>
      </c>
      <c r="E29" s="36">
        <f t="shared" si="1"/>
        <v>2200</v>
      </c>
      <c r="F29" s="3">
        <v>30</v>
      </c>
      <c r="G29" s="31"/>
    </row>
    <row r="30" spans="1:7">
      <c r="A30" s="121">
        <v>26</v>
      </c>
      <c r="B30" s="27" t="s">
        <v>441</v>
      </c>
      <c r="C30" s="34">
        <v>20</v>
      </c>
      <c r="D30" s="35">
        <v>40</v>
      </c>
      <c r="E30" s="36">
        <f t="shared" si="1"/>
        <v>800</v>
      </c>
      <c r="F30" s="3">
        <v>30</v>
      </c>
      <c r="G30" s="69"/>
    </row>
    <row r="31" spans="1:7" ht="41">
      <c r="A31" s="3">
        <v>27</v>
      </c>
      <c r="B31" s="31" t="s">
        <v>442</v>
      </c>
      <c r="C31" s="34">
        <v>30</v>
      </c>
      <c r="D31" s="35">
        <v>400</v>
      </c>
      <c r="E31" s="36">
        <f t="shared" si="0"/>
        <v>12000</v>
      </c>
      <c r="F31" s="3">
        <v>30</v>
      </c>
      <c r="G31" s="2"/>
    </row>
    <row r="32" spans="1:7">
      <c r="A32" s="121">
        <v>28</v>
      </c>
      <c r="B32" s="27" t="s">
        <v>443</v>
      </c>
      <c r="C32" s="34">
        <v>30</v>
      </c>
      <c r="D32" s="35">
        <v>750</v>
      </c>
      <c r="E32" s="36">
        <f t="shared" si="0"/>
        <v>22500</v>
      </c>
      <c r="F32" s="3">
        <v>30</v>
      </c>
      <c r="G32" s="2"/>
    </row>
    <row r="33" spans="1:7" ht="23">
      <c r="A33" s="2"/>
      <c r="B33" s="104" t="s">
        <v>6</v>
      </c>
      <c r="C33" s="12"/>
      <c r="D33" s="2"/>
      <c r="E33" s="22">
        <f>SUM(E5:E32)</f>
        <v>80380</v>
      </c>
      <c r="F33" s="2"/>
      <c r="G33" s="2"/>
    </row>
    <row r="34" spans="1:7" ht="24.5">
      <c r="A34" s="2"/>
      <c r="B34" s="21" t="s">
        <v>114</v>
      </c>
      <c r="C34" s="12"/>
      <c r="D34" s="2"/>
      <c r="E34" s="23">
        <f>E33*7%</f>
        <v>5626.6</v>
      </c>
      <c r="F34" s="2"/>
      <c r="G34" s="2"/>
    </row>
    <row r="35" spans="1:7" ht="24.5">
      <c r="A35" s="2"/>
      <c r="B35" s="20" t="s">
        <v>35</v>
      </c>
      <c r="C35" s="2"/>
      <c r="D35" s="2"/>
      <c r="E35" s="24">
        <f>SUM(E33:E34)</f>
        <v>86006.6</v>
      </c>
      <c r="F35" s="2"/>
      <c r="G35" s="2"/>
    </row>
    <row r="36" spans="1:7" ht="24.5">
      <c r="A36" s="2"/>
      <c r="B36" s="20"/>
      <c r="C36" s="2"/>
      <c r="D36" s="2"/>
      <c r="E36" s="24"/>
      <c r="F36" s="2"/>
      <c r="G36" s="2"/>
    </row>
    <row r="37" spans="1:7" ht="33">
      <c r="A37" s="2"/>
      <c r="B37" s="26" t="s">
        <v>36</v>
      </c>
      <c r="C37" s="202" t="str">
        <f>BAHTTEXT(E35)</f>
        <v>แปดหมื่นหกพันหกบาทหกสิบสตางค์</v>
      </c>
      <c r="D37" s="203"/>
      <c r="E37" s="203"/>
      <c r="F37" s="203"/>
      <c r="G37" s="204"/>
    </row>
  </sheetData>
  <mergeCells count="6">
    <mergeCell ref="C37:G37"/>
    <mergeCell ref="A2:A4"/>
    <mergeCell ref="B2:B4"/>
    <mergeCell ref="C2:C4"/>
    <mergeCell ref="D2:E2"/>
    <mergeCell ref="F2:F4"/>
  </mergeCells>
  <pageMargins left="0.7" right="0.7" top="0.75" bottom="0.75" header="0.3" footer="0.3"/>
  <pageSetup paperSize="9" scale="63"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32BEA-888A-4AFC-A5D0-B747FBEE3459}">
  <sheetPr>
    <pageSetUpPr fitToPage="1"/>
  </sheetPr>
  <dimension ref="A2:G27"/>
  <sheetViews>
    <sheetView zoomScale="115" zoomScaleNormal="115" workbookViewId="0">
      <selection activeCell="B9" sqref="B9"/>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ht="21" customHeight="1">
      <c r="A5" s="52">
        <v>1</v>
      </c>
      <c r="B5" s="72" t="s">
        <v>412</v>
      </c>
      <c r="C5" s="54">
        <v>1</v>
      </c>
      <c r="D5" s="55">
        <v>6500</v>
      </c>
      <c r="E5" s="56">
        <f>D5*C5</f>
        <v>6500</v>
      </c>
      <c r="F5" s="52">
        <v>30</v>
      </c>
      <c r="G5" s="57" t="s">
        <v>161</v>
      </c>
    </row>
    <row r="6" spans="1:7" ht="21" customHeight="1">
      <c r="A6" s="52"/>
      <c r="B6" s="72" t="s">
        <v>413</v>
      </c>
      <c r="C6" s="54"/>
      <c r="D6" s="55"/>
      <c r="E6" s="58"/>
      <c r="F6" s="52"/>
      <c r="G6" s="27" t="s">
        <v>265</v>
      </c>
    </row>
    <row r="7" spans="1:7" ht="21" customHeight="1">
      <c r="A7" s="119"/>
      <c r="B7" s="117" t="s">
        <v>414</v>
      </c>
      <c r="C7" s="54"/>
      <c r="D7" s="55"/>
      <c r="E7" s="58"/>
      <c r="F7" s="52"/>
      <c r="G7" s="27" t="s">
        <v>285</v>
      </c>
    </row>
    <row r="8" spans="1:7">
      <c r="A8" s="120"/>
      <c r="B8" s="118" t="s">
        <v>415</v>
      </c>
      <c r="C8" s="54"/>
      <c r="D8" s="55"/>
      <c r="E8" s="58"/>
      <c r="F8" s="52"/>
      <c r="G8" s="27" t="s">
        <v>29</v>
      </c>
    </row>
    <row r="9" spans="1:7">
      <c r="A9" s="52"/>
      <c r="B9" s="72"/>
      <c r="C9" s="54"/>
      <c r="D9" s="55"/>
      <c r="E9" s="56"/>
      <c r="F9" s="52"/>
      <c r="G9" s="59"/>
    </row>
    <row r="10" spans="1:7">
      <c r="A10" s="52"/>
      <c r="B10" s="72"/>
      <c r="C10" s="54"/>
      <c r="D10" s="55"/>
      <c r="E10" s="58"/>
      <c r="F10" s="52"/>
      <c r="G10" s="60" t="s">
        <v>162</v>
      </c>
    </row>
    <row r="11" spans="1:7">
      <c r="A11" s="52"/>
      <c r="B11" s="72"/>
      <c r="C11" s="54"/>
      <c r="D11" s="55"/>
      <c r="E11" s="58"/>
      <c r="F11" s="52"/>
      <c r="G11" s="61" t="s">
        <v>31</v>
      </c>
    </row>
    <row r="12" spans="1:7">
      <c r="A12" s="52"/>
      <c r="B12" s="53"/>
      <c r="C12" s="54"/>
      <c r="D12" s="55"/>
      <c r="E12" s="58"/>
      <c r="F12" s="52"/>
      <c r="G12" s="27" t="s">
        <v>32</v>
      </c>
    </row>
    <row r="13" spans="1:7">
      <c r="A13" s="52"/>
      <c r="B13" s="53"/>
      <c r="C13" s="54"/>
      <c r="D13" s="55"/>
      <c r="E13" s="58"/>
      <c r="F13" s="52"/>
      <c r="G13" s="27" t="s">
        <v>28</v>
      </c>
    </row>
    <row r="14" spans="1:7">
      <c r="A14" s="52"/>
      <c r="B14" s="53"/>
      <c r="C14" s="54"/>
      <c r="D14" s="55"/>
      <c r="E14" s="58"/>
      <c r="F14" s="52"/>
      <c r="G14" s="27"/>
    </row>
    <row r="15" spans="1:7" ht="41">
      <c r="A15" s="52"/>
      <c r="B15" s="53"/>
      <c r="C15" s="54"/>
      <c r="D15" s="55"/>
      <c r="E15" s="58"/>
      <c r="F15" s="52"/>
      <c r="G15" s="69" t="s">
        <v>164</v>
      </c>
    </row>
    <row r="16" spans="1:7">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6500</v>
      </c>
      <c r="F23" s="62"/>
      <c r="G23" s="2"/>
    </row>
    <row r="24" spans="1:7" ht="24.5">
      <c r="A24" s="62"/>
      <c r="B24" s="63" t="s">
        <v>34</v>
      </c>
      <c r="C24" s="54"/>
      <c r="D24" s="62"/>
      <c r="E24" s="65">
        <f>E23*0%</f>
        <v>0</v>
      </c>
      <c r="F24" s="62"/>
      <c r="G24" s="2"/>
    </row>
    <row r="25" spans="1:7" ht="24.5">
      <c r="A25" s="62"/>
      <c r="B25" s="66" t="s">
        <v>35</v>
      </c>
      <c r="C25" s="62"/>
      <c r="D25" s="62"/>
      <c r="E25" s="67">
        <f>SUM(E23:E24)</f>
        <v>6500</v>
      </c>
      <c r="F25" s="62"/>
      <c r="G25" s="62"/>
    </row>
    <row r="26" spans="1:7" ht="24.5">
      <c r="A26" s="62"/>
      <c r="B26" s="66"/>
      <c r="C26" s="62"/>
      <c r="D26" s="62"/>
      <c r="E26" s="67"/>
      <c r="F26" s="62"/>
      <c r="G26" s="62"/>
    </row>
    <row r="27" spans="1:7" ht="33">
      <c r="A27" s="62"/>
      <c r="B27" s="68" t="s">
        <v>36</v>
      </c>
      <c r="C27" s="197" t="str">
        <f>BAHTTEXT(E25)</f>
        <v>หกพันห้าร้อยบาทถ้วน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DDA3-D3E5-4D3D-AF58-34329084D18A}">
  <dimension ref="A2:G27"/>
  <sheetViews>
    <sheetView zoomScaleNormal="100" workbookViewId="0">
      <selection activeCell="E9" sqref="E9"/>
    </sheetView>
  </sheetViews>
  <sheetFormatPr defaultColWidth="9.08203125" defaultRowHeight="20.5"/>
  <cols>
    <col min="1" max="1" width="9.08203125" style="1"/>
    <col min="2" max="2" width="58.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46" t="s">
        <v>386</v>
      </c>
      <c r="C5" s="34">
        <v>40</v>
      </c>
      <c r="D5" s="35">
        <v>130</v>
      </c>
      <c r="E5" s="36">
        <f t="shared" ref="E5:E22" si="0">+C5*D5</f>
        <v>5200</v>
      </c>
      <c r="F5" s="3">
        <v>30</v>
      </c>
      <c r="G5" s="2"/>
    </row>
    <row r="6" spans="1:7">
      <c r="A6" s="3">
        <v>2</v>
      </c>
      <c r="B6" s="46" t="s">
        <v>387</v>
      </c>
      <c r="C6" s="34">
        <v>80</v>
      </c>
      <c r="D6" s="35">
        <v>35</v>
      </c>
      <c r="E6" s="36">
        <f t="shared" si="0"/>
        <v>2800</v>
      </c>
      <c r="F6" s="3">
        <v>30</v>
      </c>
      <c r="G6" s="29" t="s">
        <v>51</v>
      </c>
    </row>
    <row r="7" spans="1:7">
      <c r="A7" s="3">
        <v>3</v>
      </c>
      <c r="B7" s="31" t="s">
        <v>388</v>
      </c>
      <c r="C7" s="34">
        <v>80</v>
      </c>
      <c r="D7" s="108">
        <v>30</v>
      </c>
      <c r="E7" s="36">
        <f t="shared" si="0"/>
        <v>2400</v>
      </c>
      <c r="F7" s="3">
        <v>30</v>
      </c>
      <c r="G7" s="31" t="s">
        <v>32</v>
      </c>
    </row>
    <row r="8" spans="1:7">
      <c r="A8" s="3">
        <v>4</v>
      </c>
      <c r="B8" s="31" t="s">
        <v>389</v>
      </c>
      <c r="C8" s="34">
        <v>80</v>
      </c>
      <c r="D8" s="108">
        <v>75</v>
      </c>
      <c r="E8" s="36">
        <f t="shared" si="0"/>
        <v>6000</v>
      </c>
      <c r="F8" s="3">
        <v>30</v>
      </c>
      <c r="G8" s="31" t="s">
        <v>259</v>
      </c>
    </row>
    <row r="9" spans="1:7">
      <c r="A9" s="3">
        <v>5</v>
      </c>
      <c r="B9" s="105" t="s">
        <v>390</v>
      </c>
      <c r="C9" s="34">
        <v>40</v>
      </c>
      <c r="D9" s="108">
        <v>350</v>
      </c>
      <c r="E9" s="36">
        <f t="shared" si="0"/>
        <v>14000</v>
      </c>
      <c r="F9" s="3">
        <v>30</v>
      </c>
      <c r="G9" s="31" t="s">
        <v>285</v>
      </c>
    </row>
    <row r="10" spans="1:7">
      <c r="A10" s="3">
        <v>6</v>
      </c>
      <c r="B10" s="107" t="s">
        <v>391</v>
      </c>
      <c r="C10" s="34">
        <v>80</v>
      </c>
      <c r="D10" s="35">
        <v>10</v>
      </c>
      <c r="E10" s="36">
        <f t="shared" si="0"/>
        <v>800</v>
      </c>
      <c r="F10" s="3">
        <v>30</v>
      </c>
      <c r="G10" s="31"/>
    </row>
    <row r="11" spans="1:7">
      <c r="A11" s="3">
        <v>7</v>
      </c>
      <c r="B11" s="103" t="s">
        <v>392</v>
      </c>
      <c r="C11" s="34">
        <v>40</v>
      </c>
      <c r="D11" s="35">
        <v>25</v>
      </c>
      <c r="E11" s="36">
        <f t="shared" si="0"/>
        <v>1000</v>
      </c>
      <c r="F11" s="3">
        <v>30</v>
      </c>
      <c r="G11" s="31"/>
    </row>
    <row r="12" spans="1:7">
      <c r="A12" s="3">
        <v>8</v>
      </c>
      <c r="B12" s="103" t="s">
        <v>393</v>
      </c>
      <c r="C12" s="34">
        <v>80</v>
      </c>
      <c r="D12" s="35">
        <v>25</v>
      </c>
      <c r="E12" s="36">
        <f t="shared" si="0"/>
        <v>2000</v>
      </c>
      <c r="F12" s="3">
        <v>30</v>
      </c>
      <c r="G12" s="69" t="s">
        <v>50</v>
      </c>
    </row>
    <row r="13" spans="1:7">
      <c r="A13" s="3">
        <v>9</v>
      </c>
      <c r="B13" s="103" t="s">
        <v>394</v>
      </c>
      <c r="C13" s="34">
        <v>200</v>
      </c>
      <c r="D13" s="35">
        <v>0.4</v>
      </c>
      <c r="E13" s="36">
        <f t="shared" si="0"/>
        <v>80</v>
      </c>
      <c r="F13" s="3">
        <v>30</v>
      </c>
      <c r="G13" s="27" t="s">
        <v>31</v>
      </c>
    </row>
    <row r="14" spans="1:7">
      <c r="A14" s="3">
        <v>10</v>
      </c>
      <c r="B14" s="103" t="s">
        <v>395</v>
      </c>
      <c r="C14" s="34">
        <v>400</v>
      </c>
      <c r="D14" s="35">
        <v>0.3</v>
      </c>
      <c r="E14" s="36">
        <f t="shared" si="0"/>
        <v>120</v>
      </c>
      <c r="F14" s="3">
        <v>30</v>
      </c>
      <c r="G14" s="31" t="s">
        <v>238</v>
      </c>
    </row>
    <row r="15" spans="1:7">
      <c r="A15" s="3">
        <v>11</v>
      </c>
      <c r="B15" s="103" t="s">
        <v>396</v>
      </c>
      <c r="C15" s="34">
        <v>700</v>
      </c>
      <c r="D15" s="35">
        <v>0.25</v>
      </c>
      <c r="E15" s="36">
        <f t="shared" si="0"/>
        <v>175</v>
      </c>
      <c r="F15" s="3">
        <v>30</v>
      </c>
      <c r="G15" s="31" t="s">
        <v>29</v>
      </c>
    </row>
    <row r="16" spans="1:7">
      <c r="A16" s="3">
        <v>12</v>
      </c>
      <c r="B16" s="103" t="s">
        <v>397</v>
      </c>
      <c r="C16" s="34">
        <v>40</v>
      </c>
      <c r="D16" s="35">
        <v>3</v>
      </c>
      <c r="E16" s="36">
        <f t="shared" si="0"/>
        <v>120</v>
      </c>
      <c r="F16" s="3">
        <v>30</v>
      </c>
      <c r="G16" s="31"/>
    </row>
    <row r="17" spans="1:7">
      <c r="A17" s="3">
        <v>13</v>
      </c>
      <c r="B17" s="103" t="s">
        <v>398</v>
      </c>
      <c r="C17" s="34">
        <v>40</v>
      </c>
      <c r="D17" s="35">
        <v>420</v>
      </c>
      <c r="E17" s="36">
        <f t="shared" si="0"/>
        <v>16800</v>
      </c>
      <c r="F17" s="3">
        <v>30</v>
      </c>
      <c r="G17" s="69"/>
    </row>
    <row r="18" spans="1:7">
      <c r="A18" s="3">
        <v>14</v>
      </c>
      <c r="B18" s="103" t="s">
        <v>399</v>
      </c>
      <c r="C18" s="34">
        <v>160</v>
      </c>
      <c r="D18" s="35">
        <v>4</v>
      </c>
      <c r="E18" s="36">
        <f t="shared" si="0"/>
        <v>640</v>
      </c>
      <c r="F18" s="3">
        <v>30</v>
      </c>
      <c r="G18" s="2"/>
    </row>
    <row r="19" spans="1:7">
      <c r="A19" s="3">
        <v>15</v>
      </c>
      <c r="B19" s="103" t="s">
        <v>400</v>
      </c>
      <c r="C19" s="34">
        <v>6</v>
      </c>
      <c r="D19" s="35">
        <v>550</v>
      </c>
      <c r="E19" s="36">
        <f t="shared" si="0"/>
        <v>3300</v>
      </c>
      <c r="F19" s="3">
        <v>30</v>
      </c>
      <c r="G19" s="2"/>
    </row>
    <row r="20" spans="1:7">
      <c r="A20" s="3">
        <v>16</v>
      </c>
      <c r="B20" s="103" t="s">
        <v>359</v>
      </c>
      <c r="C20" s="34">
        <v>30</v>
      </c>
      <c r="D20" s="35">
        <v>60</v>
      </c>
      <c r="E20" s="36">
        <f t="shared" si="0"/>
        <v>1800</v>
      </c>
      <c r="F20" s="3">
        <v>30</v>
      </c>
      <c r="G20" s="2"/>
    </row>
    <row r="21" spans="1:7">
      <c r="A21" s="3">
        <v>17</v>
      </c>
      <c r="B21" s="103" t="s">
        <v>401</v>
      </c>
      <c r="C21" s="34">
        <v>2</v>
      </c>
      <c r="D21" s="35">
        <v>50</v>
      </c>
      <c r="E21" s="36">
        <f t="shared" si="0"/>
        <v>100</v>
      </c>
      <c r="F21" s="3">
        <v>30</v>
      </c>
      <c r="G21" s="15"/>
    </row>
    <row r="22" spans="1:7">
      <c r="A22" s="3">
        <v>18</v>
      </c>
      <c r="B22" s="107" t="s">
        <v>402</v>
      </c>
      <c r="C22" s="34">
        <v>40</v>
      </c>
      <c r="D22" s="35">
        <v>280</v>
      </c>
      <c r="E22" s="36">
        <f t="shared" si="0"/>
        <v>11200</v>
      </c>
      <c r="F22" s="3">
        <v>30</v>
      </c>
      <c r="G22" s="27"/>
    </row>
    <row r="23" spans="1:7" ht="23">
      <c r="A23" s="2"/>
      <c r="B23" s="104" t="s">
        <v>6</v>
      </c>
      <c r="C23" s="12"/>
      <c r="D23" s="2"/>
      <c r="E23" s="22">
        <f>SUM(E5:E22)</f>
        <v>68535</v>
      </c>
      <c r="F23" s="2"/>
      <c r="G23" s="2"/>
    </row>
    <row r="24" spans="1:7" ht="24.5">
      <c r="A24" s="2"/>
      <c r="B24" s="21" t="s">
        <v>114</v>
      </c>
      <c r="C24" s="12"/>
      <c r="D24" s="2"/>
      <c r="E24" s="23">
        <f>E23*7%</f>
        <v>4797.4500000000007</v>
      </c>
      <c r="F24" s="2"/>
      <c r="G24" s="2"/>
    </row>
    <row r="25" spans="1:7" ht="24.5">
      <c r="A25" s="2"/>
      <c r="B25" s="20" t="s">
        <v>35</v>
      </c>
      <c r="C25" s="2"/>
      <c r="D25" s="2"/>
      <c r="E25" s="24">
        <f>SUM(E23:E24)</f>
        <v>73332.45</v>
      </c>
      <c r="F25" s="2"/>
      <c r="G25" s="2"/>
    </row>
    <row r="26" spans="1:7" ht="24.5">
      <c r="A26" s="2"/>
      <c r="B26" s="20"/>
      <c r="C26" s="2"/>
      <c r="D26" s="2"/>
      <c r="E26" s="24"/>
      <c r="F26" s="2"/>
      <c r="G26" s="2"/>
    </row>
    <row r="27" spans="1:7" ht="33">
      <c r="A27" s="2"/>
      <c r="B27" s="26" t="s">
        <v>36</v>
      </c>
      <c r="C27" s="202" t="str">
        <f>BAHTTEXT(E25)</f>
        <v>เจ็ดหมื่นสามพันสามร้อยสามสิบสองบาทสี่สิบห้าสตางค์</v>
      </c>
      <c r="D27" s="203"/>
      <c r="E27" s="203"/>
      <c r="F27" s="203"/>
      <c r="G27" s="204"/>
    </row>
  </sheetData>
  <mergeCells count="6">
    <mergeCell ref="C27:G27"/>
    <mergeCell ref="A2:A4"/>
    <mergeCell ref="B2:B4"/>
    <mergeCell ref="C2:C4"/>
    <mergeCell ref="D2:E2"/>
    <mergeCell ref="F2:F4"/>
  </mergeCells>
  <pageMargins left="0.7" right="0.7" top="0.75" bottom="0.75" header="0.3" footer="0.3"/>
  <pageSetup paperSize="9" scale="63"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A46B-2D53-422F-9B76-648DA6F009CC}">
  <dimension ref="A2:G20"/>
  <sheetViews>
    <sheetView zoomScaleNormal="100" workbookViewId="0">
      <selection activeCell="A2" sqref="A2:G20"/>
    </sheetView>
  </sheetViews>
  <sheetFormatPr defaultColWidth="9.08203125" defaultRowHeight="20.5"/>
  <cols>
    <col min="1" max="1" width="9.08203125" style="1"/>
    <col min="2" max="2" width="58.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5" t="s">
        <v>0</v>
      </c>
      <c r="B2" s="6" t="s">
        <v>1</v>
      </c>
      <c r="C2" s="5" t="s">
        <v>2</v>
      </c>
      <c r="D2" s="111" t="s">
        <v>3</v>
      </c>
      <c r="E2" s="112"/>
      <c r="F2" s="6" t="s">
        <v>7</v>
      </c>
      <c r="G2" s="4" t="s">
        <v>8</v>
      </c>
    </row>
    <row r="3" spans="1:7">
      <c r="A3" s="80"/>
      <c r="B3" s="109"/>
      <c r="C3" s="80"/>
      <c r="D3" s="5" t="s">
        <v>5</v>
      </c>
      <c r="E3" s="6" t="s">
        <v>6</v>
      </c>
      <c r="F3" s="109"/>
      <c r="G3" s="7" t="s">
        <v>9</v>
      </c>
    </row>
    <row r="4" spans="1:7">
      <c r="A4" s="8"/>
      <c r="B4" s="110"/>
      <c r="C4" s="8"/>
      <c r="D4" s="8" t="s">
        <v>4</v>
      </c>
      <c r="E4" s="8" t="s">
        <v>4</v>
      </c>
      <c r="F4" s="110"/>
      <c r="G4" s="9" t="s">
        <v>10</v>
      </c>
    </row>
    <row r="5" spans="1:7">
      <c r="A5" s="3">
        <v>1</v>
      </c>
      <c r="B5" s="46" t="s">
        <v>403</v>
      </c>
      <c r="C5" s="34">
        <v>6</v>
      </c>
      <c r="D5" s="35">
        <v>200</v>
      </c>
      <c r="E5" s="36">
        <f>+C5*D5</f>
        <v>1200</v>
      </c>
      <c r="F5" s="3">
        <v>30</v>
      </c>
      <c r="G5" s="2"/>
    </row>
    <row r="6" spans="1:7">
      <c r="A6" s="3">
        <v>2</v>
      </c>
      <c r="B6" s="46" t="s">
        <v>404</v>
      </c>
      <c r="C6" s="34">
        <v>6</v>
      </c>
      <c r="D6" s="35">
        <v>150</v>
      </c>
      <c r="E6" s="36">
        <f t="shared" ref="E6:E13" si="0">+C6*D6</f>
        <v>900</v>
      </c>
      <c r="F6" s="3">
        <v>30</v>
      </c>
      <c r="G6" s="29" t="s">
        <v>51</v>
      </c>
    </row>
    <row r="7" spans="1:7">
      <c r="A7" s="3">
        <v>3</v>
      </c>
      <c r="B7" s="116" t="s">
        <v>405</v>
      </c>
      <c r="C7" s="34">
        <v>100</v>
      </c>
      <c r="D7" s="108">
        <v>110</v>
      </c>
      <c r="E7" s="36">
        <f t="shared" si="0"/>
        <v>11000</v>
      </c>
      <c r="F7" s="3">
        <v>30</v>
      </c>
      <c r="G7" s="31" t="s">
        <v>32</v>
      </c>
    </row>
    <row r="8" spans="1:7">
      <c r="A8" s="3">
        <v>4</v>
      </c>
      <c r="B8" s="31" t="s">
        <v>406</v>
      </c>
      <c r="C8" s="34">
        <v>12</v>
      </c>
      <c r="D8" s="108">
        <v>100</v>
      </c>
      <c r="E8" s="36">
        <f t="shared" si="0"/>
        <v>1200</v>
      </c>
      <c r="F8" s="3">
        <v>30</v>
      </c>
      <c r="G8" s="31" t="s">
        <v>259</v>
      </c>
    </row>
    <row r="9" spans="1:7">
      <c r="A9" s="3">
        <v>5</v>
      </c>
      <c r="B9" s="105" t="s">
        <v>407</v>
      </c>
      <c r="C9" s="34">
        <v>10</v>
      </c>
      <c r="D9" s="108">
        <v>220</v>
      </c>
      <c r="E9" s="36">
        <f t="shared" si="0"/>
        <v>2200</v>
      </c>
      <c r="F9" s="3">
        <v>30</v>
      </c>
      <c r="G9" s="31" t="s">
        <v>285</v>
      </c>
    </row>
    <row r="10" spans="1:7">
      <c r="A10" s="3">
        <v>6</v>
      </c>
      <c r="B10" s="107" t="s">
        <v>408</v>
      </c>
      <c r="C10" s="34">
        <v>2</v>
      </c>
      <c r="D10" s="35">
        <v>700</v>
      </c>
      <c r="E10" s="36">
        <f t="shared" si="0"/>
        <v>1400</v>
      </c>
      <c r="F10" s="3">
        <v>30</v>
      </c>
      <c r="G10" s="31"/>
    </row>
    <row r="11" spans="1:7">
      <c r="A11" s="3">
        <v>7</v>
      </c>
      <c r="B11" s="103" t="s">
        <v>409</v>
      </c>
      <c r="C11" s="34">
        <v>2</v>
      </c>
      <c r="D11" s="35">
        <v>700</v>
      </c>
      <c r="E11" s="36">
        <f t="shared" si="0"/>
        <v>1400</v>
      </c>
      <c r="F11" s="3">
        <v>30</v>
      </c>
      <c r="G11" s="31"/>
    </row>
    <row r="12" spans="1:7">
      <c r="A12" s="3">
        <v>8</v>
      </c>
      <c r="B12" s="103" t="s">
        <v>410</v>
      </c>
      <c r="C12" s="34">
        <v>2</v>
      </c>
      <c r="D12" s="35">
        <v>700</v>
      </c>
      <c r="E12" s="36">
        <f t="shared" si="0"/>
        <v>1400</v>
      </c>
      <c r="F12" s="3">
        <v>30</v>
      </c>
      <c r="G12" s="69" t="s">
        <v>50</v>
      </c>
    </row>
    <row r="13" spans="1:7">
      <c r="A13" s="3">
        <v>9</v>
      </c>
      <c r="B13" s="103" t="s">
        <v>411</v>
      </c>
      <c r="C13" s="34">
        <v>2</v>
      </c>
      <c r="D13" s="35">
        <v>700</v>
      </c>
      <c r="E13" s="36">
        <f t="shared" si="0"/>
        <v>1400</v>
      </c>
      <c r="F13" s="3">
        <v>30</v>
      </c>
      <c r="G13" s="27" t="s">
        <v>31</v>
      </c>
    </row>
    <row r="14" spans="1:7">
      <c r="A14" s="3"/>
      <c r="B14" s="103"/>
      <c r="C14" s="34"/>
      <c r="D14" s="35"/>
      <c r="E14" s="36"/>
      <c r="F14" s="3"/>
      <c r="G14" s="31" t="s">
        <v>238</v>
      </c>
    </row>
    <row r="15" spans="1:7">
      <c r="A15" s="3"/>
      <c r="B15" s="103"/>
      <c r="C15" s="34"/>
      <c r="D15" s="35"/>
      <c r="E15" s="36"/>
      <c r="F15" s="3"/>
      <c r="G15" s="31" t="s">
        <v>29</v>
      </c>
    </row>
    <row r="16" spans="1:7" ht="23">
      <c r="A16" s="2"/>
      <c r="B16" s="104" t="s">
        <v>6</v>
      </c>
      <c r="C16" s="12"/>
      <c r="D16" s="2"/>
      <c r="E16" s="22">
        <f>SUM(E5:E15)</f>
        <v>22100</v>
      </c>
      <c r="F16" s="2"/>
      <c r="G16" s="31"/>
    </row>
    <row r="17" spans="1:7" ht="24.5">
      <c r="A17" s="2"/>
      <c r="B17" s="21" t="s">
        <v>114</v>
      </c>
      <c r="C17" s="12"/>
      <c r="D17" s="2"/>
      <c r="E17" s="23">
        <f>E16*7%</f>
        <v>1547.0000000000002</v>
      </c>
      <c r="F17" s="2"/>
      <c r="G17" s="2"/>
    </row>
    <row r="18" spans="1:7" ht="24.5">
      <c r="A18" s="2"/>
      <c r="B18" s="20" t="s">
        <v>35</v>
      </c>
      <c r="C18" s="2"/>
      <c r="D18" s="2"/>
      <c r="E18" s="24">
        <f>SUM(E16:E17)</f>
        <v>23647</v>
      </c>
      <c r="F18" s="2"/>
      <c r="G18" s="2"/>
    </row>
    <row r="19" spans="1:7" ht="24.5">
      <c r="A19" s="2"/>
      <c r="B19" s="20"/>
      <c r="C19" s="2"/>
      <c r="D19" s="2"/>
      <c r="E19" s="24"/>
      <c r="F19" s="2"/>
      <c r="G19" s="2"/>
    </row>
    <row r="20" spans="1:7" ht="33">
      <c r="A20" s="2"/>
      <c r="B20" s="26" t="s">
        <v>36</v>
      </c>
      <c r="C20" s="113" t="str">
        <f>BAHTTEXT(E18)</f>
        <v>สองหมื่นสามพันหกร้อยสี่สิบเจ็ดบาทถ้วน</v>
      </c>
      <c r="D20" s="114"/>
      <c r="E20" s="114"/>
      <c r="F20" s="114"/>
      <c r="G20" s="115"/>
    </row>
  </sheetData>
  <pageMargins left="0.7" right="0.7" top="0.75" bottom="0.75" header="0.3" footer="0.3"/>
  <pageSetup paperSize="9" scale="63"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EBC8-36F5-4D3B-B51D-A53521E06591}">
  <dimension ref="A2:G22"/>
  <sheetViews>
    <sheetView topLeftCell="A4" zoomScale="70" zoomScaleNormal="70" workbookViewId="0">
      <selection activeCell="A2" sqref="A2:G22"/>
    </sheetView>
  </sheetViews>
  <sheetFormatPr defaultColWidth="9.08203125" defaultRowHeight="20.5"/>
  <cols>
    <col min="1" max="1" width="9.08203125" style="1"/>
    <col min="2" max="2" width="58.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46" t="s">
        <v>380</v>
      </c>
      <c r="C5" s="34">
        <v>1</v>
      </c>
      <c r="D5" s="35">
        <v>1500</v>
      </c>
      <c r="E5" s="36">
        <f>+C5*D5</f>
        <v>1500</v>
      </c>
      <c r="F5" s="3">
        <v>30</v>
      </c>
      <c r="G5" s="2"/>
    </row>
    <row r="6" spans="1:7">
      <c r="A6" s="3">
        <v>2</v>
      </c>
      <c r="B6" s="46" t="s">
        <v>381</v>
      </c>
      <c r="C6" s="34">
        <v>1</v>
      </c>
      <c r="D6" s="35">
        <v>1500</v>
      </c>
      <c r="E6" s="36">
        <f>+C6*D6</f>
        <v>1500</v>
      </c>
      <c r="F6" s="3"/>
      <c r="G6" s="29" t="s">
        <v>51</v>
      </c>
    </row>
    <row r="7" spans="1:7">
      <c r="A7" s="3">
        <v>3</v>
      </c>
      <c r="B7" s="31" t="s">
        <v>382</v>
      </c>
      <c r="C7" s="34">
        <v>2</v>
      </c>
      <c r="D7" s="108">
        <v>60</v>
      </c>
      <c r="E7" s="36">
        <f t="shared" ref="E7:E10" si="0">+C7*D7</f>
        <v>120</v>
      </c>
      <c r="F7" s="3"/>
      <c r="G7" s="31" t="s">
        <v>29</v>
      </c>
    </row>
    <row r="8" spans="1:7">
      <c r="A8" s="3">
        <v>4</v>
      </c>
      <c r="B8" s="31" t="s">
        <v>383</v>
      </c>
      <c r="C8" s="34">
        <v>1</v>
      </c>
      <c r="D8" s="108">
        <v>200</v>
      </c>
      <c r="E8" s="36">
        <f t="shared" si="0"/>
        <v>200</v>
      </c>
      <c r="F8" s="3"/>
      <c r="G8" s="31" t="s">
        <v>28</v>
      </c>
    </row>
    <row r="9" spans="1:7">
      <c r="A9" s="3">
        <v>5</v>
      </c>
      <c r="B9" s="105" t="s">
        <v>384</v>
      </c>
      <c r="C9" s="34">
        <v>1</v>
      </c>
      <c r="D9" s="108">
        <v>100</v>
      </c>
      <c r="E9" s="36">
        <f t="shared" si="0"/>
        <v>100</v>
      </c>
      <c r="F9" s="3"/>
      <c r="G9" s="31" t="s">
        <v>285</v>
      </c>
    </row>
    <row r="10" spans="1:7">
      <c r="A10" s="3">
        <v>6</v>
      </c>
      <c r="B10" s="107" t="s">
        <v>385</v>
      </c>
      <c r="C10" s="34">
        <v>1</v>
      </c>
      <c r="D10" s="35">
        <v>450</v>
      </c>
      <c r="E10" s="36">
        <f t="shared" si="0"/>
        <v>450</v>
      </c>
      <c r="F10" s="3"/>
      <c r="G10" s="31"/>
    </row>
    <row r="11" spans="1:7">
      <c r="A11" s="3"/>
      <c r="B11" s="103"/>
      <c r="C11" s="34"/>
      <c r="D11" s="35"/>
      <c r="E11" s="36"/>
      <c r="F11" s="3"/>
      <c r="G11" s="31"/>
    </row>
    <row r="12" spans="1:7">
      <c r="A12" s="3"/>
      <c r="B12" s="103"/>
      <c r="C12" s="34"/>
      <c r="D12" s="35"/>
      <c r="E12" s="36"/>
      <c r="F12" s="3"/>
      <c r="G12" s="69" t="s">
        <v>50</v>
      </c>
    </row>
    <row r="13" spans="1:7">
      <c r="A13" s="3"/>
      <c r="B13" s="103"/>
      <c r="C13" s="34"/>
      <c r="D13" s="35"/>
      <c r="E13" s="36"/>
      <c r="F13" s="3"/>
      <c r="G13" s="27" t="s">
        <v>31</v>
      </c>
    </row>
    <row r="14" spans="1:7">
      <c r="A14" s="3"/>
      <c r="B14" s="103"/>
      <c r="C14" s="34"/>
      <c r="D14" s="35"/>
      <c r="E14" s="36"/>
      <c r="F14" s="3"/>
      <c r="G14" s="31" t="s">
        <v>32</v>
      </c>
    </row>
    <row r="15" spans="1:7">
      <c r="A15" s="3"/>
      <c r="B15" s="103"/>
      <c r="C15" s="34"/>
      <c r="D15" s="35"/>
      <c r="E15" s="36"/>
      <c r="F15" s="3"/>
      <c r="G15" s="31" t="s">
        <v>33</v>
      </c>
    </row>
    <row r="16" spans="1:7">
      <c r="A16" s="3"/>
      <c r="B16" s="103"/>
      <c r="C16" s="34"/>
      <c r="D16" s="35"/>
      <c r="E16" s="36"/>
      <c r="F16" s="3"/>
      <c r="G16" s="15"/>
    </row>
    <row r="17" spans="1:7">
      <c r="A17" s="3"/>
      <c r="B17" s="107"/>
      <c r="C17" s="34"/>
      <c r="D17" s="35"/>
      <c r="E17" s="36"/>
      <c r="F17" s="3"/>
      <c r="G17" s="27"/>
    </row>
    <row r="18" spans="1:7" ht="23">
      <c r="A18" s="2"/>
      <c r="B18" s="104" t="s">
        <v>6</v>
      </c>
      <c r="C18" s="12"/>
      <c r="D18" s="2"/>
      <c r="E18" s="22">
        <f>SUM(E5:E17)</f>
        <v>3870</v>
      </c>
      <c r="F18" s="2"/>
      <c r="G18" s="2"/>
    </row>
    <row r="19" spans="1:7" ht="24.5">
      <c r="A19" s="2"/>
      <c r="B19" s="21" t="s">
        <v>114</v>
      </c>
      <c r="C19" s="12"/>
      <c r="D19" s="2"/>
      <c r="E19" s="23">
        <f>E18*7%</f>
        <v>270.90000000000003</v>
      </c>
      <c r="F19" s="2"/>
      <c r="G19" s="2"/>
    </row>
    <row r="20" spans="1:7" ht="24.5">
      <c r="A20" s="2"/>
      <c r="B20" s="20" t="s">
        <v>35</v>
      </c>
      <c r="C20" s="2"/>
      <c r="D20" s="2"/>
      <c r="E20" s="24">
        <f>SUM(E18:E19)</f>
        <v>4140.8999999999996</v>
      </c>
      <c r="F20" s="2"/>
      <c r="G20" s="2"/>
    </row>
    <row r="21" spans="1:7" ht="24.5">
      <c r="A21" s="2"/>
      <c r="B21" s="20"/>
      <c r="C21" s="2"/>
      <c r="D21" s="2"/>
      <c r="E21" s="24"/>
      <c r="F21" s="2"/>
      <c r="G21" s="2"/>
    </row>
    <row r="22" spans="1:7" ht="33">
      <c r="A22" s="2"/>
      <c r="B22" s="26" t="s">
        <v>36</v>
      </c>
      <c r="C22" s="202" t="str">
        <f>BAHTTEXT(E20)</f>
        <v>สี่พันหนึ่งร้อยสี่สิบบาทเก้าสิบสตางค์</v>
      </c>
      <c r="D22" s="203"/>
      <c r="E22" s="203"/>
      <c r="F22" s="203"/>
      <c r="G22" s="204"/>
    </row>
  </sheetData>
  <mergeCells count="6">
    <mergeCell ref="C22:G22"/>
    <mergeCell ref="A2:A4"/>
    <mergeCell ref="B2:B4"/>
    <mergeCell ref="C2:C4"/>
    <mergeCell ref="D2:E2"/>
    <mergeCell ref="F2:F4"/>
  </mergeCells>
  <pageMargins left="0.7" right="0.7" top="0.75" bottom="0.75" header="0.3" footer="0.3"/>
  <pageSetup paperSize="9" scale="63"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59BF9-6BAF-47D1-9096-91D4D8ED0BA1}">
  <dimension ref="A2:G29"/>
  <sheetViews>
    <sheetView topLeftCell="A4" zoomScale="70" zoomScaleNormal="70" workbookViewId="0">
      <selection activeCell="A2" sqref="A2:G29"/>
    </sheetView>
  </sheetViews>
  <sheetFormatPr defaultColWidth="9.08203125" defaultRowHeight="20.5"/>
  <cols>
    <col min="1" max="1" width="9.08203125" style="1"/>
    <col min="2" max="2" width="58.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46" t="s">
        <v>360</v>
      </c>
      <c r="C5" s="34">
        <v>20</v>
      </c>
      <c r="D5" s="35">
        <v>1600</v>
      </c>
      <c r="E5" s="36">
        <f>+C5*D5</f>
        <v>32000</v>
      </c>
      <c r="F5" s="3">
        <v>30</v>
      </c>
      <c r="G5" s="2"/>
    </row>
    <row r="6" spans="1:7">
      <c r="A6" s="3">
        <v>2</v>
      </c>
      <c r="B6" s="46" t="s">
        <v>361</v>
      </c>
      <c r="C6" s="34">
        <v>20</v>
      </c>
      <c r="D6" s="35">
        <v>40</v>
      </c>
      <c r="E6" s="36">
        <f t="shared" ref="E6:E24" si="0">+C6*D6</f>
        <v>800</v>
      </c>
      <c r="F6" s="3">
        <v>30</v>
      </c>
      <c r="G6" s="29" t="s">
        <v>51</v>
      </c>
    </row>
    <row r="7" spans="1:7">
      <c r="A7" s="3">
        <v>3</v>
      </c>
      <c r="B7" s="31" t="s">
        <v>362</v>
      </c>
      <c r="C7" s="34">
        <v>20</v>
      </c>
      <c r="D7" s="108">
        <v>40</v>
      </c>
      <c r="E7" s="36">
        <f t="shared" si="0"/>
        <v>800</v>
      </c>
      <c r="F7" s="3">
        <v>30</v>
      </c>
      <c r="G7" s="31" t="s">
        <v>29</v>
      </c>
    </row>
    <row r="8" spans="1:7">
      <c r="A8" s="3">
        <v>4</v>
      </c>
      <c r="B8" s="31" t="s">
        <v>363</v>
      </c>
      <c r="C8" s="34">
        <v>20</v>
      </c>
      <c r="D8" s="108">
        <v>40</v>
      </c>
      <c r="E8" s="36">
        <f t="shared" si="0"/>
        <v>800</v>
      </c>
      <c r="F8" s="3">
        <v>30</v>
      </c>
      <c r="G8" s="31" t="s">
        <v>28</v>
      </c>
    </row>
    <row r="9" spans="1:7">
      <c r="A9" s="3">
        <v>5</v>
      </c>
      <c r="B9" s="105" t="s">
        <v>364</v>
      </c>
      <c r="C9" s="34">
        <v>200</v>
      </c>
      <c r="D9" s="108">
        <v>0.5</v>
      </c>
      <c r="E9" s="36">
        <f t="shared" si="0"/>
        <v>100</v>
      </c>
      <c r="F9" s="3">
        <v>30</v>
      </c>
      <c r="G9" s="31" t="s">
        <v>285</v>
      </c>
    </row>
    <row r="10" spans="1:7">
      <c r="A10" s="3">
        <v>6</v>
      </c>
      <c r="B10" s="46" t="s">
        <v>365</v>
      </c>
      <c r="C10" s="34">
        <v>200</v>
      </c>
      <c r="D10" s="35">
        <v>0.5</v>
      </c>
      <c r="E10" s="36">
        <f t="shared" si="0"/>
        <v>100</v>
      </c>
      <c r="F10" s="3">
        <v>30</v>
      </c>
      <c r="G10" s="31"/>
    </row>
    <row r="11" spans="1:7">
      <c r="A11" s="3">
        <v>7</v>
      </c>
      <c r="B11" s="46" t="s">
        <v>369</v>
      </c>
      <c r="C11" s="34">
        <v>200</v>
      </c>
      <c r="D11" s="35">
        <v>0.5</v>
      </c>
      <c r="E11" s="36">
        <f t="shared" si="0"/>
        <v>100</v>
      </c>
      <c r="F11" s="3">
        <v>30</v>
      </c>
      <c r="G11" s="69"/>
    </row>
    <row r="12" spans="1:7">
      <c r="A12" s="3">
        <v>8</v>
      </c>
      <c r="B12" s="46" t="s">
        <v>366</v>
      </c>
      <c r="C12" s="34">
        <v>200</v>
      </c>
      <c r="D12" s="35">
        <v>0.5</v>
      </c>
      <c r="E12" s="36">
        <f t="shared" si="0"/>
        <v>100</v>
      </c>
      <c r="F12" s="3">
        <v>30</v>
      </c>
      <c r="G12" s="27"/>
    </row>
    <row r="13" spans="1:7">
      <c r="A13" s="3">
        <v>9</v>
      </c>
      <c r="B13" s="46" t="s">
        <v>367</v>
      </c>
      <c r="C13" s="34">
        <v>200</v>
      </c>
      <c r="D13" s="35">
        <v>0.5</v>
      </c>
      <c r="E13" s="36">
        <f t="shared" si="0"/>
        <v>100</v>
      </c>
      <c r="F13" s="3">
        <v>30</v>
      </c>
      <c r="G13" s="31"/>
    </row>
    <row r="14" spans="1:7">
      <c r="A14" s="3">
        <v>10</v>
      </c>
      <c r="B14" s="46" t="s">
        <v>368</v>
      </c>
      <c r="C14" s="34">
        <v>200</v>
      </c>
      <c r="D14" s="35">
        <v>0.5</v>
      </c>
      <c r="E14" s="36">
        <f t="shared" si="0"/>
        <v>100</v>
      </c>
      <c r="F14" s="3">
        <v>30</v>
      </c>
      <c r="G14" s="31"/>
    </row>
    <row r="15" spans="1:7" ht="102.5">
      <c r="A15" s="10">
        <v>11</v>
      </c>
      <c r="B15" s="103" t="s">
        <v>370</v>
      </c>
      <c r="C15" s="12">
        <v>20</v>
      </c>
      <c r="D15" s="13">
        <v>250</v>
      </c>
      <c r="E15" s="14">
        <f t="shared" si="0"/>
        <v>5000</v>
      </c>
      <c r="F15" s="10">
        <v>30</v>
      </c>
      <c r="G15" s="2"/>
    </row>
    <row r="16" spans="1:7">
      <c r="A16" s="3">
        <v>12</v>
      </c>
      <c r="B16" s="103" t="s">
        <v>371</v>
      </c>
      <c r="C16" s="34">
        <v>20</v>
      </c>
      <c r="D16" s="35">
        <v>45</v>
      </c>
      <c r="E16" s="36">
        <f t="shared" si="0"/>
        <v>900</v>
      </c>
      <c r="F16" s="3">
        <v>30</v>
      </c>
      <c r="G16" s="2"/>
    </row>
    <row r="17" spans="1:7">
      <c r="A17" s="3">
        <v>13</v>
      </c>
      <c r="B17" s="107" t="s">
        <v>372</v>
      </c>
      <c r="C17" s="34">
        <v>20</v>
      </c>
      <c r="D17" s="35">
        <v>45</v>
      </c>
      <c r="E17" s="36">
        <f t="shared" si="0"/>
        <v>900</v>
      </c>
      <c r="F17" s="3">
        <v>30</v>
      </c>
      <c r="G17" s="31"/>
    </row>
    <row r="18" spans="1:7">
      <c r="A18" s="3">
        <v>14</v>
      </c>
      <c r="B18" s="103" t="s">
        <v>373</v>
      </c>
      <c r="C18" s="34">
        <v>20</v>
      </c>
      <c r="D18" s="35">
        <v>50</v>
      </c>
      <c r="E18" s="36">
        <f t="shared" si="0"/>
        <v>1000</v>
      </c>
      <c r="F18" s="3">
        <v>30</v>
      </c>
      <c r="G18" s="31"/>
    </row>
    <row r="19" spans="1:7">
      <c r="A19" s="3">
        <v>15</v>
      </c>
      <c r="B19" s="103" t="s">
        <v>374</v>
      </c>
      <c r="C19" s="34">
        <v>20</v>
      </c>
      <c r="D19" s="35">
        <v>100</v>
      </c>
      <c r="E19" s="36">
        <f t="shared" si="0"/>
        <v>2000</v>
      </c>
      <c r="F19" s="3">
        <v>30</v>
      </c>
      <c r="G19" s="69" t="s">
        <v>50</v>
      </c>
    </row>
    <row r="20" spans="1:7">
      <c r="A20" s="3">
        <v>16</v>
      </c>
      <c r="B20" s="103" t="s">
        <v>375</v>
      </c>
      <c r="C20" s="34">
        <v>20</v>
      </c>
      <c r="D20" s="35">
        <v>50</v>
      </c>
      <c r="E20" s="36">
        <f t="shared" si="0"/>
        <v>1000</v>
      </c>
      <c r="F20" s="3">
        <v>30</v>
      </c>
      <c r="G20" s="27" t="s">
        <v>31</v>
      </c>
    </row>
    <row r="21" spans="1:7">
      <c r="A21" s="3">
        <v>17</v>
      </c>
      <c r="B21" s="103" t="s">
        <v>376</v>
      </c>
      <c r="C21" s="34">
        <v>20</v>
      </c>
      <c r="D21" s="35">
        <v>120</v>
      </c>
      <c r="E21" s="36">
        <f t="shared" si="0"/>
        <v>2400</v>
      </c>
      <c r="F21" s="3">
        <v>30</v>
      </c>
      <c r="G21" s="31" t="s">
        <v>32</v>
      </c>
    </row>
    <row r="22" spans="1:7">
      <c r="A22" s="3">
        <v>18</v>
      </c>
      <c r="B22" s="103" t="s">
        <v>377</v>
      </c>
      <c r="C22" s="34">
        <v>20</v>
      </c>
      <c r="D22" s="35">
        <v>70</v>
      </c>
      <c r="E22" s="36">
        <f t="shared" si="0"/>
        <v>1400</v>
      </c>
      <c r="F22" s="3">
        <v>30</v>
      </c>
      <c r="G22" s="31" t="s">
        <v>33</v>
      </c>
    </row>
    <row r="23" spans="1:7">
      <c r="A23" s="3">
        <v>19</v>
      </c>
      <c r="B23" s="103" t="s">
        <v>378</v>
      </c>
      <c r="C23" s="34">
        <v>15</v>
      </c>
      <c r="D23" s="35">
        <v>70</v>
      </c>
      <c r="E23" s="36">
        <f t="shared" si="0"/>
        <v>1050</v>
      </c>
      <c r="F23" s="3">
        <v>30</v>
      </c>
      <c r="G23" s="15"/>
    </row>
    <row r="24" spans="1:7">
      <c r="A24" s="3">
        <v>20</v>
      </c>
      <c r="B24" s="107" t="s">
        <v>379</v>
      </c>
      <c r="C24" s="34">
        <v>20</v>
      </c>
      <c r="D24" s="35">
        <v>60</v>
      </c>
      <c r="E24" s="36">
        <f t="shared" si="0"/>
        <v>1200</v>
      </c>
      <c r="F24" s="3">
        <v>30</v>
      </c>
      <c r="G24" s="27"/>
    </row>
    <row r="25" spans="1:7" ht="23">
      <c r="A25" s="2"/>
      <c r="B25" s="104" t="s">
        <v>6</v>
      </c>
      <c r="C25" s="12"/>
      <c r="D25" s="2"/>
      <c r="E25" s="22">
        <f>SUM(E5:E24)</f>
        <v>51850</v>
      </c>
      <c r="F25" s="2"/>
      <c r="G25" s="2"/>
    </row>
    <row r="26" spans="1:7" ht="24.5">
      <c r="A26" s="2"/>
      <c r="B26" s="21" t="s">
        <v>114</v>
      </c>
      <c r="C26" s="12"/>
      <c r="D26" s="2"/>
      <c r="E26" s="23">
        <f>E25*7%</f>
        <v>3629.5000000000005</v>
      </c>
      <c r="F26" s="2"/>
      <c r="G26" s="2"/>
    </row>
    <row r="27" spans="1:7" ht="24.5">
      <c r="A27" s="2"/>
      <c r="B27" s="20" t="s">
        <v>35</v>
      </c>
      <c r="C27" s="2"/>
      <c r="D27" s="2"/>
      <c r="E27" s="24">
        <f>SUM(E25:E26)</f>
        <v>55479.5</v>
      </c>
      <c r="F27" s="2"/>
      <c r="G27" s="2"/>
    </row>
    <row r="28" spans="1:7" ht="24.5">
      <c r="A28" s="2"/>
      <c r="B28" s="20"/>
      <c r="C28" s="2"/>
      <c r="D28" s="2"/>
      <c r="E28" s="24"/>
      <c r="F28" s="2"/>
      <c r="G28" s="2"/>
    </row>
    <row r="29" spans="1:7" ht="33">
      <c r="A29" s="2"/>
      <c r="B29" s="26" t="s">
        <v>36</v>
      </c>
      <c r="C29" s="202" t="str">
        <f>BAHTTEXT(E27)</f>
        <v>ห้าหมื่นห้าพันสี่ร้อยเจ็ดสิบเก้าบาทห้าสิบสตางค์</v>
      </c>
      <c r="D29" s="203"/>
      <c r="E29" s="203"/>
      <c r="F29" s="203"/>
      <c r="G29" s="204"/>
    </row>
  </sheetData>
  <mergeCells count="6">
    <mergeCell ref="C29:G29"/>
    <mergeCell ref="A2:A4"/>
    <mergeCell ref="B2:B4"/>
    <mergeCell ref="C2:C4"/>
    <mergeCell ref="D2:E2"/>
    <mergeCell ref="F2:F4"/>
  </mergeCells>
  <pageMargins left="0.7" right="0.7" top="0.75" bottom="0.75" header="0.3" footer="0.3"/>
  <pageSetup paperSize="9" scale="63"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88E85-C802-4837-9954-E45047E4873B}">
  <dimension ref="A2:G23"/>
  <sheetViews>
    <sheetView topLeftCell="A4" zoomScale="85" zoomScaleNormal="85" workbookViewId="0">
      <selection activeCell="B25" sqref="B25"/>
    </sheetView>
  </sheetViews>
  <sheetFormatPr defaultColWidth="9.08203125" defaultRowHeight="20.5"/>
  <cols>
    <col min="1" max="1" width="9.08203125" style="1"/>
    <col min="2" max="2" width="58.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46" t="s">
        <v>346</v>
      </c>
      <c r="C5" s="34">
        <v>12</v>
      </c>
      <c r="D5" s="35">
        <v>750</v>
      </c>
      <c r="E5" s="36">
        <f>+C5*D5</f>
        <v>9000</v>
      </c>
      <c r="F5" s="3">
        <v>30</v>
      </c>
      <c r="G5" s="2"/>
    </row>
    <row r="6" spans="1:7">
      <c r="A6" s="3">
        <v>2</v>
      </c>
      <c r="B6" s="46" t="s">
        <v>347</v>
      </c>
      <c r="C6" s="34">
        <v>7</v>
      </c>
      <c r="D6" s="35">
        <v>300</v>
      </c>
      <c r="E6" s="36">
        <f t="shared" ref="E6:E18" si="0">+C6*D6</f>
        <v>2100</v>
      </c>
      <c r="F6" s="3">
        <v>30</v>
      </c>
      <c r="G6" s="29" t="s">
        <v>51</v>
      </c>
    </row>
    <row r="7" spans="1:7">
      <c r="A7" s="3">
        <v>3</v>
      </c>
      <c r="B7" s="31" t="s">
        <v>348</v>
      </c>
      <c r="C7" s="34">
        <v>3</v>
      </c>
      <c r="D7" s="108">
        <v>3300</v>
      </c>
      <c r="E7" s="36">
        <f t="shared" si="0"/>
        <v>9900</v>
      </c>
      <c r="F7" s="3">
        <v>30</v>
      </c>
      <c r="G7" s="31" t="s">
        <v>29</v>
      </c>
    </row>
    <row r="8" spans="1:7">
      <c r="A8" s="3">
        <v>4</v>
      </c>
      <c r="B8" s="31" t="s">
        <v>349</v>
      </c>
      <c r="C8" s="34">
        <v>1</v>
      </c>
      <c r="D8" s="108">
        <v>250</v>
      </c>
      <c r="E8" s="36">
        <f t="shared" si="0"/>
        <v>250</v>
      </c>
      <c r="F8" s="3">
        <v>30</v>
      </c>
      <c r="G8" s="31" t="s">
        <v>28</v>
      </c>
    </row>
    <row r="9" spans="1:7">
      <c r="A9" s="3">
        <v>5</v>
      </c>
      <c r="B9" s="105" t="s">
        <v>350</v>
      </c>
      <c r="C9" s="34">
        <v>4</v>
      </c>
      <c r="D9" s="108">
        <v>550</v>
      </c>
      <c r="E9" s="36">
        <f t="shared" si="0"/>
        <v>2200</v>
      </c>
      <c r="F9" s="3">
        <v>30</v>
      </c>
      <c r="G9" s="31" t="s">
        <v>285</v>
      </c>
    </row>
    <row r="10" spans="1:7">
      <c r="A10" s="3">
        <v>6</v>
      </c>
      <c r="B10" s="46" t="s">
        <v>351</v>
      </c>
      <c r="C10" s="34">
        <v>1</v>
      </c>
      <c r="D10" s="35">
        <v>300</v>
      </c>
      <c r="E10" s="36">
        <f t="shared" si="0"/>
        <v>300</v>
      </c>
      <c r="F10" s="3">
        <v>30</v>
      </c>
      <c r="G10" s="31"/>
    </row>
    <row r="11" spans="1:7">
      <c r="A11" s="3">
        <v>7</v>
      </c>
      <c r="B11" s="46" t="s">
        <v>352</v>
      </c>
      <c r="C11" s="34">
        <v>1</v>
      </c>
      <c r="D11" s="35">
        <v>200</v>
      </c>
      <c r="E11" s="36">
        <f t="shared" si="0"/>
        <v>200</v>
      </c>
      <c r="F11" s="3">
        <v>30</v>
      </c>
      <c r="G11" s="2"/>
    </row>
    <row r="12" spans="1:7">
      <c r="A12" s="3">
        <v>8</v>
      </c>
      <c r="B12" s="106" t="s">
        <v>353</v>
      </c>
      <c r="C12" s="34">
        <v>1</v>
      </c>
      <c r="D12" s="35">
        <v>200</v>
      </c>
      <c r="E12" s="36">
        <f t="shared" si="0"/>
        <v>200</v>
      </c>
      <c r="F12" s="3">
        <v>30</v>
      </c>
      <c r="G12" s="2"/>
    </row>
    <row r="13" spans="1:7">
      <c r="A13" s="3">
        <v>9</v>
      </c>
      <c r="B13" s="46" t="s">
        <v>354</v>
      </c>
      <c r="C13" s="34">
        <v>12</v>
      </c>
      <c r="D13" s="35">
        <v>130</v>
      </c>
      <c r="E13" s="36">
        <f t="shared" si="0"/>
        <v>1560</v>
      </c>
      <c r="F13" s="3">
        <v>30</v>
      </c>
      <c r="G13" s="69" t="s">
        <v>50</v>
      </c>
    </row>
    <row r="14" spans="1:7">
      <c r="A14" s="3">
        <v>10</v>
      </c>
      <c r="B14" s="46" t="s">
        <v>355</v>
      </c>
      <c r="C14" s="34">
        <v>1</v>
      </c>
      <c r="D14" s="35">
        <v>400</v>
      </c>
      <c r="E14" s="36">
        <f t="shared" si="0"/>
        <v>400</v>
      </c>
      <c r="F14" s="3">
        <v>30</v>
      </c>
      <c r="G14" s="27" t="s">
        <v>31</v>
      </c>
    </row>
    <row r="15" spans="1:7">
      <c r="A15" s="3">
        <v>11</v>
      </c>
      <c r="B15" s="103" t="s">
        <v>356</v>
      </c>
      <c r="C15" s="34">
        <v>11</v>
      </c>
      <c r="D15" s="35">
        <v>60</v>
      </c>
      <c r="E15" s="36">
        <f t="shared" si="0"/>
        <v>660</v>
      </c>
      <c r="F15" s="3">
        <v>30</v>
      </c>
      <c r="G15" s="31" t="s">
        <v>32</v>
      </c>
    </row>
    <row r="16" spans="1:7">
      <c r="A16" s="3">
        <v>12</v>
      </c>
      <c r="B16" s="103" t="s">
        <v>357</v>
      </c>
      <c r="C16" s="34">
        <v>1</v>
      </c>
      <c r="D16" s="35">
        <v>150</v>
      </c>
      <c r="E16" s="36">
        <f t="shared" si="0"/>
        <v>150</v>
      </c>
      <c r="F16" s="3">
        <v>30</v>
      </c>
      <c r="G16" s="31" t="s">
        <v>33</v>
      </c>
    </row>
    <row r="17" spans="1:7">
      <c r="A17" s="3">
        <v>13</v>
      </c>
      <c r="B17" s="103" t="s">
        <v>358</v>
      </c>
      <c r="C17" s="34">
        <v>6</v>
      </c>
      <c r="D17" s="35">
        <v>60</v>
      </c>
      <c r="E17" s="36">
        <f t="shared" si="0"/>
        <v>360</v>
      </c>
      <c r="F17" s="3">
        <v>30</v>
      </c>
      <c r="G17" s="15"/>
    </row>
    <row r="18" spans="1:7">
      <c r="A18" s="3">
        <v>14</v>
      </c>
      <c r="B18" s="107" t="s">
        <v>359</v>
      </c>
      <c r="C18" s="34">
        <v>12</v>
      </c>
      <c r="D18" s="35">
        <v>60</v>
      </c>
      <c r="E18" s="36">
        <f t="shared" si="0"/>
        <v>720</v>
      </c>
      <c r="F18" s="3">
        <v>30</v>
      </c>
      <c r="G18" s="27"/>
    </row>
    <row r="19" spans="1:7" ht="23">
      <c r="A19" s="2"/>
      <c r="B19" s="104" t="s">
        <v>6</v>
      </c>
      <c r="C19" s="12"/>
      <c r="D19" s="2"/>
      <c r="E19" s="22">
        <f>SUM(E5:E18)</f>
        <v>28000</v>
      </c>
      <c r="F19" s="2"/>
      <c r="G19" s="2"/>
    </row>
    <row r="20" spans="1:7" ht="24.5">
      <c r="A20" s="2"/>
      <c r="B20" s="21" t="s">
        <v>114</v>
      </c>
      <c r="C20" s="12"/>
      <c r="D20" s="2"/>
      <c r="E20" s="23">
        <f>E19*7%</f>
        <v>1960.0000000000002</v>
      </c>
      <c r="F20" s="2"/>
      <c r="G20" s="2"/>
    </row>
    <row r="21" spans="1:7" ht="24.5">
      <c r="A21" s="2"/>
      <c r="B21" s="20" t="s">
        <v>35</v>
      </c>
      <c r="C21" s="2"/>
      <c r="D21" s="2"/>
      <c r="E21" s="24">
        <f>SUM(E19:E20)</f>
        <v>29960</v>
      </c>
      <c r="F21" s="2"/>
      <c r="G21" s="2"/>
    </row>
    <row r="22" spans="1:7" ht="24.5">
      <c r="A22" s="2"/>
      <c r="B22" s="20"/>
      <c r="C22" s="2"/>
      <c r="D22" s="2"/>
      <c r="E22" s="24"/>
      <c r="F22" s="2"/>
      <c r="G22" s="2"/>
    </row>
    <row r="23" spans="1:7" ht="33">
      <c r="A23" s="2"/>
      <c r="B23" s="26" t="s">
        <v>36</v>
      </c>
      <c r="C23" s="202" t="str">
        <f>BAHTTEXT(E21)</f>
        <v>สองหมื่นเก้าพันเก้าร้อยหกสิบบาทถ้วน</v>
      </c>
      <c r="D23" s="203"/>
      <c r="E23" s="203"/>
      <c r="F23" s="203"/>
      <c r="G23" s="204"/>
    </row>
  </sheetData>
  <mergeCells count="6">
    <mergeCell ref="C23:G23"/>
    <mergeCell ref="A2:A4"/>
    <mergeCell ref="B2:B4"/>
    <mergeCell ref="C2:C4"/>
    <mergeCell ref="D2:E2"/>
    <mergeCell ref="F2:F4"/>
  </mergeCells>
  <pageMargins left="0.7" right="0.7" top="0.75" bottom="0.75" header="0.3" footer="0.3"/>
  <pageSetup paperSize="9" scale="63"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864BB-4F57-4B24-9B25-3C77C653FB86}">
  <dimension ref="A2:G22"/>
  <sheetViews>
    <sheetView zoomScale="115" zoomScaleNormal="115" workbookViewId="0">
      <selection activeCell="A2" sqref="A2:G22"/>
    </sheetView>
  </sheetViews>
  <sheetFormatPr defaultColWidth="9.08203125" defaultRowHeight="20.5"/>
  <cols>
    <col min="1" max="1" width="9.08203125" style="1"/>
    <col min="2" max="2" width="58.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30" t="s">
        <v>345</v>
      </c>
      <c r="C5" s="12">
        <v>70</v>
      </c>
      <c r="D5" s="13">
        <v>636</v>
      </c>
      <c r="E5" s="14">
        <f>+C5*D5</f>
        <v>44520</v>
      </c>
      <c r="F5" s="10">
        <v>30</v>
      </c>
      <c r="G5" s="2"/>
    </row>
    <row r="6" spans="1:7">
      <c r="A6" s="3"/>
      <c r="B6" s="30"/>
      <c r="C6" s="12"/>
      <c r="D6" s="13"/>
      <c r="E6" s="14"/>
      <c r="F6" s="10"/>
      <c r="G6" s="29" t="s">
        <v>51</v>
      </c>
    </row>
    <row r="7" spans="1:7">
      <c r="A7" s="3"/>
      <c r="B7" s="31"/>
      <c r="C7" s="12"/>
      <c r="D7" s="38"/>
      <c r="E7" s="14"/>
      <c r="F7" s="10"/>
      <c r="G7" s="31" t="s">
        <v>29</v>
      </c>
    </row>
    <row r="8" spans="1:7">
      <c r="A8" s="2"/>
      <c r="B8" s="31"/>
      <c r="C8" s="12"/>
      <c r="D8" s="38"/>
      <c r="E8" s="14"/>
      <c r="F8" s="10"/>
      <c r="G8" s="31" t="s">
        <v>28</v>
      </c>
    </row>
    <row r="9" spans="1:7">
      <c r="A9" s="79"/>
      <c r="B9" s="39"/>
      <c r="C9" s="12"/>
      <c r="D9" s="38"/>
      <c r="E9" s="14"/>
      <c r="F9" s="10"/>
      <c r="G9" s="31" t="s">
        <v>285</v>
      </c>
    </row>
    <row r="10" spans="1:7">
      <c r="A10" s="10"/>
      <c r="B10" s="30"/>
      <c r="C10" s="12"/>
      <c r="D10" s="13"/>
      <c r="E10" s="14"/>
      <c r="F10" s="10"/>
      <c r="G10" s="31"/>
    </row>
    <row r="11" spans="1:7">
      <c r="A11" s="10"/>
      <c r="B11" s="30"/>
      <c r="C11" s="12"/>
      <c r="D11" s="13"/>
      <c r="E11" s="14"/>
      <c r="F11" s="10"/>
      <c r="G11" s="2"/>
    </row>
    <row r="12" spans="1:7">
      <c r="A12" s="10"/>
      <c r="B12" s="32"/>
      <c r="C12" s="12"/>
      <c r="D12" s="13"/>
      <c r="E12" s="14"/>
      <c r="F12" s="10"/>
      <c r="G12" s="2"/>
    </row>
    <row r="13" spans="1:7">
      <c r="A13" s="3"/>
      <c r="B13" s="46"/>
      <c r="C13" s="12"/>
      <c r="D13" s="13"/>
      <c r="E13" s="14"/>
      <c r="F13" s="10"/>
      <c r="G13" s="69" t="s">
        <v>50</v>
      </c>
    </row>
    <row r="14" spans="1:7">
      <c r="A14" s="3"/>
      <c r="B14" s="46"/>
      <c r="C14" s="12"/>
      <c r="D14" s="13"/>
      <c r="E14" s="14"/>
      <c r="F14" s="10"/>
      <c r="G14" s="40" t="s">
        <v>31</v>
      </c>
    </row>
    <row r="15" spans="1:7">
      <c r="A15" s="3"/>
      <c r="B15" s="46"/>
      <c r="C15" s="12"/>
      <c r="D15" s="13"/>
      <c r="E15" s="14"/>
      <c r="F15" s="10"/>
      <c r="G15" s="15" t="s">
        <v>32</v>
      </c>
    </row>
    <row r="16" spans="1:7">
      <c r="A16" s="2"/>
      <c r="B16" s="46"/>
      <c r="C16" s="12"/>
      <c r="D16" s="13"/>
      <c r="E16" s="14"/>
      <c r="F16" s="10"/>
      <c r="G16" s="15" t="s">
        <v>33</v>
      </c>
    </row>
    <row r="17" spans="1:7">
      <c r="A17" s="79"/>
      <c r="B17" s="46"/>
      <c r="C17" s="12"/>
      <c r="D17" s="13"/>
      <c r="E17" s="14"/>
      <c r="F17" s="10"/>
      <c r="G17" s="27"/>
    </row>
    <row r="18" spans="1:7" ht="23">
      <c r="A18" s="2"/>
      <c r="B18" s="21" t="s">
        <v>6</v>
      </c>
      <c r="C18" s="12"/>
      <c r="D18" s="2"/>
      <c r="E18" s="22">
        <f>SUM(E5:E17)</f>
        <v>44520</v>
      </c>
      <c r="F18" s="2"/>
      <c r="G18" s="2"/>
    </row>
    <row r="19" spans="1:7" ht="24.5">
      <c r="A19" s="2"/>
      <c r="B19" s="21" t="s">
        <v>114</v>
      </c>
      <c r="C19" s="12"/>
      <c r="D19" s="2"/>
      <c r="E19" s="23">
        <f>E18*7%</f>
        <v>3116.4</v>
      </c>
      <c r="F19" s="2"/>
      <c r="G19" s="2"/>
    </row>
    <row r="20" spans="1:7" ht="24.5">
      <c r="A20" s="2"/>
      <c r="B20" s="20" t="s">
        <v>35</v>
      </c>
      <c r="C20" s="2"/>
      <c r="D20" s="2"/>
      <c r="E20" s="24">
        <f>SUM(E18:E19)</f>
        <v>47636.4</v>
      </c>
      <c r="F20" s="2"/>
      <c r="G20" s="2"/>
    </row>
    <row r="21" spans="1:7" ht="24.5">
      <c r="A21" s="2"/>
      <c r="B21" s="20"/>
      <c r="C21" s="2"/>
      <c r="D21" s="2"/>
      <c r="E21" s="24"/>
      <c r="F21" s="2"/>
      <c r="G21" s="2"/>
    </row>
    <row r="22" spans="1:7" ht="33">
      <c r="A22" s="2"/>
      <c r="B22" s="26" t="s">
        <v>36</v>
      </c>
      <c r="C22" s="202" t="str">
        <f>BAHTTEXT(E20)</f>
        <v>สี่หมื่นเจ็ดพันหกร้อยสามสิบหกบาทสี่สิบสตางค์</v>
      </c>
      <c r="D22" s="203"/>
      <c r="E22" s="203"/>
      <c r="F22" s="203"/>
      <c r="G22" s="204"/>
    </row>
  </sheetData>
  <mergeCells count="6">
    <mergeCell ref="C22:G22"/>
    <mergeCell ref="A2:A4"/>
    <mergeCell ref="B2:B4"/>
    <mergeCell ref="C2:C4"/>
    <mergeCell ref="D2:E2"/>
    <mergeCell ref="F2:F4"/>
  </mergeCells>
  <pageMargins left="0.7" right="0.7" top="0.75" bottom="0.75" header="0.3" footer="0.3"/>
  <pageSetup paperSize="9" scale="63"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BC9D9-82EE-46B1-934F-6A1F3C99CB6B}">
  <dimension ref="A2:G26"/>
  <sheetViews>
    <sheetView topLeftCell="A4" zoomScale="115" zoomScaleNormal="115" workbookViewId="0">
      <selection activeCell="E6" sqref="E6"/>
    </sheetView>
  </sheetViews>
  <sheetFormatPr defaultColWidth="9.08203125" defaultRowHeight="20.5"/>
  <cols>
    <col min="1" max="1" width="9.08203125" style="1"/>
    <col min="2" max="2" width="58.5" style="1" customWidth="1"/>
    <col min="3" max="3" width="7.25" style="1" bestFit="1" customWidth="1"/>
    <col min="4" max="4" width="12.33203125" style="1" bestFit="1" customWidth="1"/>
    <col min="5" max="5" width="14.83203125" style="1" bestFit="1" customWidth="1"/>
    <col min="6" max="6" width="13.58203125" style="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30" t="s">
        <v>330</v>
      </c>
      <c r="C5" s="12">
        <v>108</v>
      </c>
      <c r="D5" s="13">
        <v>50</v>
      </c>
      <c r="E5" s="14">
        <f>+C5*D5</f>
        <v>5400</v>
      </c>
      <c r="F5" s="10">
        <v>30</v>
      </c>
      <c r="G5" s="2"/>
    </row>
    <row r="6" spans="1:7">
      <c r="A6" s="3">
        <v>2</v>
      </c>
      <c r="B6" s="30" t="s">
        <v>52</v>
      </c>
      <c r="C6" s="12">
        <v>2</v>
      </c>
      <c r="D6" s="13">
        <v>280</v>
      </c>
      <c r="E6" s="14">
        <f t="shared" ref="E6:E21" si="0">+C6*D6</f>
        <v>560</v>
      </c>
      <c r="F6" s="10">
        <v>30</v>
      </c>
      <c r="G6" s="29" t="s">
        <v>51</v>
      </c>
    </row>
    <row r="7" spans="1:7">
      <c r="A7" s="3">
        <v>3</v>
      </c>
      <c r="B7" s="31" t="s">
        <v>331</v>
      </c>
      <c r="C7" s="12">
        <v>4</v>
      </c>
      <c r="D7" s="38">
        <v>120</v>
      </c>
      <c r="E7" s="14">
        <f t="shared" si="0"/>
        <v>480</v>
      </c>
      <c r="F7" s="10">
        <v>30</v>
      </c>
      <c r="G7" s="31" t="s">
        <v>28</v>
      </c>
    </row>
    <row r="8" spans="1:7">
      <c r="A8" s="2">
        <v>4</v>
      </c>
      <c r="B8" s="31" t="s">
        <v>54</v>
      </c>
      <c r="C8" s="12">
        <v>2</v>
      </c>
      <c r="D8" s="38">
        <v>1490</v>
      </c>
      <c r="E8" s="14">
        <f t="shared" si="0"/>
        <v>2980</v>
      </c>
      <c r="F8" s="10">
        <v>30</v>
      </c>
      <c r="G8" s="31" t="s">
        <v>259</v>
      </c>
    </row>
    <row r="9" spans="1:7">
      <c r="A9" s="79">
        <v>5</v>
      </c>
      <c r="B9" s="39" t="s">
        <v>332</v>
      </c>
      <c r="C9" s="12">
        <v>12</v>
      </c>
      <c r="D9" s="38">
        <v>125</v>
      </c>
      <c r="E9" s="14">
        <f t="shared" si="0"/>
        <v>1500</v>
      </c>
      <c r="F9" s="10">
        <v>30</v>
      </c>
      <c r="G9" s="31" t="s">
        <v>29</v>
      </c>
    </row>
    <row r="10" spans="1:7" ht="41">
      <c r="A10" s="10">
        <v>6</v>
      </c>
      <c r="B10" s="30" t="s">
        <v>343</v>
      </c>
      <c r="C10" s="12">
        <v>10</v>
      </c>
      <c r="D10" s="13">
        <v>1290</v>
      </c>
      <c r="E10" s="14">
        <f t="shared" si="0"/>
        <v>12900</v>
      </c>
      <c r="F10" s="10">
        <v>30</v>
      </c>
      <c r="G10" s="2"/>
    </row>
    <row r="11" spans="1:7" ht="41">
      <c r="A11" s="10">
        <v>7</v>
      </c>
      <c r="B11" s="30" t="s">
        <v>344</v>
      </c>
      <c r="C11" s="12">
        <v>1</v>
      </c>
      <c r="D11" s="13">
        <v>1690</v>
      </c>
      <c r="E11" s="14">
        <f t="shared" si="0"/>
        <v>1690</v>
      </c>
      <c r="F11" s="10">
        <v>30</v>
      </c>
      <c r="G11" s="2"/>
    </row>
    <row r="12" spans="1:7" ht="41">
      <c r="A12" s="10">
        <v>8</v>
      </c>
      <c r="B12" s="32" t="s">
        <v>333</v>
      </c>
      <c r="C12" s="12">
        <v>1</v>
      </c>
      <c r="D12" s="13">
        <v>1990</v>
      </c>
      <c r="E12" s="14">
        <f t="shared" si="0"/>
        <v>1990</v>
      </c>
      <c r="F12" s="10">
        <v>30</v>
      </c>
      <c r="G12" s="2"/>
    </row>
    <row r="13" spans="1:7">
      <c r="A13" s="3">
        <v>9</v>
      </c>
      <c r="B13" s="46" t="s">
        <v>334</v>
      </c>
      <c r="C13" s="12">
        <v>1</v>
      </c>
      <c r="D13" s="13">
        <v>690</v>
      </c>
      <c r="E13" s="14">
        <f t="shared" si="0"/>
        <v>690</v>
      </c>
      <c r="F13" s="10">
        <v>30</v>
      </c>
      <c r="G13" s="69" t="s">
        <v>50</v>
      </c>
    </row>
    <row r="14" spans="1:7">
      <c r="A14" s="3">
        <v>10</v>
      </c>
      <c r="B14" s="46" t="s">
        <v>335</v>
      </c>
      <c r="C14" s="12">
        <v>2</v>
      </c>
      <c r="D14" s="13">
        <v>350</v>
      </c>
      <c r="E14" s="14">
        <f t="shared" si="0"/>
        <v>700</v>
      </c>
      <c r="F14" s="10">
        <v>30</v>
      </c>
      <c r="G14" s="40" t="s">
        <v>31</v>
      </c>
    </row>
    <row r="15" spans="1:7">
      <c r="A15" s="3">
        <v>11</v>
      </c>
      <c r="B15" s="46" t="s">
        <v>336</v>
      </c>
      <c r="C15" s="12">
        <v>2</v>
      </c>
      <c r="D15" s="13">
        <v>190</v>
      </c>
      <c r="E15" s="14">
        <f t="shared" si="0"/>
        <v>380</v>
      </c>
      <c r="F15" s="10">
        <v>30</v>
      </c>
      <c r="G15" s="15" t="s">
        <v>32</v>
      </c>
    </row>
    <row r="16" spans="1:7">
      <c r="A16" s="2">
        <v>12</v>
      </c>
      <c r="B16" s="46" t="s">
        <v>337</v>
      </c>
      <c r="C16" s="12">
        <v>10</v>
      </c>
      <c r="D16" s="13">
        <v>180</v>
      </c>
      <c r="E16" s="14">
        <f t="shared" si="0"/>
        <v>1800</v>
      </c>
      <c r="F16" s="10">
        <v>30</v>
      </c>
      <c r="G16" s="15" t="s">
        <v>285</v>
      </c>
    </row>
    <row r="17" spans="1:7">
      <c r="A17" s="79">
        <v>13</v>
      </c>
      <c r="B17" s="46" t="s">
        <v>338</v>
      </c>
      <c r="C17" s="12">
        <v>10</v>
      </c>
      <c r="D17" s="13">
        <v>180</v>
      </c>
      <c r="E17" s="14">
        <f t="shared" si="0"/>
        <v>1800</v>
      </c>
      <c r="F17" s="10">
        <v>30</v>
      </c>
      <c r="G17" s="27"/>
    </row>
    <row r="18" spans="1:7">
      <c r="A18" s="3">
        <v>14</v>
      </c>
      <c r="B18" s="46" t="s">
        <v>339</v>
      </c>
      <c r="C18" s="12">
        <v>2</v>
      </c>
      <c r="D18" s="13">
        <v>250</v>
      </c>
      <c r="E18" s="14">
        <f t="shared" si="0"/>
        <v>500</v>
      </c>
      <c r="F18" s="10">
        <v>30</v>
      </c>
      <c r="G18" s="27"/>
    </row>
    <row r="19" spans="1:7">
      <c r="A19" s="10">
        <v>15</v>
      </c>
      <c r="B19" s="30" t="s">
        <v>340</v>
      </c>
      <c r="C19" s="12">
        <v>1</v>
      </c>
      <c r="D19" s="13">
        <v>990</v>
      </c>
      <c r="E19" s="14">
        <f t="shared" si="0"/>
        <v>990</v>
      </c>
      <c r="F19" s="10">
        <v>30</v>
      </c>
      <c r="G19" s="27"/>
    </row>
    <row r="20" spans="1:7">
      <c r="A20" s="3">
        <v>16</v>
      </c>
      <c r="B20" s="30" t="s">
        <v>341</v>
      </c>
      <c r="C20" s="12">
        <v>40</v>
      </c>
      <c r="D20" s="13">
        <v>55</v>
      </c>
      <c r="E20" s="14">
        <f t="shared" si="0"/>
        <v>2200</v>
      </c>
      <c r="F20" s="10">
        <v>30</v>
      </c>
      <c r="G20" s="27"/>
    </row>
    <row r="21" spans="1:7">
      <c r="A21" s="10">
        <v>17</v>
      </c>
      <c r="B21" s="30" t="s">
        <v>342</v>
      </c>
      <c r="C21" s="12">
        <v>30</v>
      </c>
      <c r="D21" s="13">
        <v>100</v>
      </c>
      <c r="E21" s="14">
        <f t="shared" si="0"/>
        <v>3000</v>
      </c>
      <c r="F21" s="10">
        <v>30</v>
      </c>
      <c r="G21" s="27"/>
    </row>
    <row r="22" spans="1:7" ht="23">
      <c r="A22" s="2"/>
      <c r="B22" s="21" t="s">
        <v>6</v>
      </c>
      <c r="C22" s="12"/>
      <c r="D22" s="2"/>
      <c r="E22" s="22">
        <f>SUM(E5:E21)</f>
        <v>39560</v>
      </c>
      <c r="F22" s="2"/>
      <c r="G22" s="2"/>
    </row>
    <row r="23" spans="1:7" ht="24.5">
      <c r="A23" s="2"/>
      <c r="B23" s="21" t="s">
        <v>114</v>
      </c>
      <c r="C23" s="12"/>
      <c r="D23" s="2"/>
      <c r="E23" s="23">
        <f>E22*7%</f>
        <v>2769.2000000000003</v>
      </c>
      <c r="F23" s="2"/>
      <c r="G23" s="2"/>
    </row>
    <row r="24" spans="1:7" ht="24.5">
      <c r="A24" s="2"/>
      <c r="B24" s="20" t="s">
        <v>35</v>
      </c>
      <c r="C24" s="2"/>
      <c r="D24" s="2"/>
      <c r="E24" s="24">
        <f>SUM(E22:E23)</f>
        <v>42329.2</v>
      </c>
      <c r="F24" s="2"/>
      <c r="G24" s="2"/>
    </row>
    <row r="25" spans="1:7" ht="24.5">
      <c r="A25" s="2"/>
      <c r="B25" s="20"/>
      <c r="C25" s="2"/>
      <c r="D25" s="2"/>
      <c r="E25" s="24"/>
      <c r="F25" s="2"/>
      <c r="G25" s="2"/>
    </row>
    <row r="26" spans="1:7" ht="33">
      <c r="A26" s="2"/>
      <c r="B26" s="26" t="s">
        <v>36</v>
      </c>
      <c r="C26" s="202" t="str">
        <f>BAHTTEXT(E24)</f>
        <v>สี่หมื่นสองพันสามร้อยยี่สิบเก้าบาทยี่สิบสตางค์</v>
      </c>
      <c r="D26" s="203"/>
      <c r="E26" s="203"/>
      <c r="F26" s="203"/>
      <c r="G26" s="204"/>
    </row>
  </sheetData>
  <mergeCells count="6">
    <mergeCell ref="C26:G26"/>
    <mergeCell ref="A2:A4"/>
    <mergeCell ref="B2:B4"/>
    <mergeCell ref="C2:C4"/>
    <mergeCell ref="D2:E2"/>
    <mergeCell ref="F2:F4"/>
  </mergeCells>
  <pageMargins left="0.7" right="0.7" top="0.75" bottom="0.75" header="0.3" footer="0.3"/>
  <pageSetup paperSize="9" scale="63"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9401F-4575-4DEF-9BC8-BE357D1F347A}">
  <dimension ref="A2:G19"/>
  <sheetViews>
    <sheetView topLeftCell="A4" zoomScale="115" zoomScaleNormal="115" workbookViewId="0">
      <selection activeCell="D5" sqref="D5"/>
    </sheetView>
  </sheetViews>
  <sheetFormatPr defaultColWidth="9.08203125" defaultRowHeight="20.5"/>
  <cols>
    <col min="1" max="1" width="9.08203125" style="1"/>
    <col min="2" max="2" width="42.75" style="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41">
      <c r="A5" s="10">
        <v>1</v>
      </c>
      <c r="B5" s="32" t="s">
        <v>322</v>
      </c>
      <c r="C5" s="12">
        <v>2</v>
      </c>
      <c r="D5" s="13">
        <v>800</v>
      </c>
      <c r="E5" s="14">
        <f>+C5*D5</f>
        <v>1600</v>
      </c>
      <c r="F5" s="10">
        <v>30</v>
      </c>
      <c r="G5" s="29" t="s">
        <v>51</v>
      </c>
    </row>
    <row r="6" spans="1:7">
      <c r="A6" s="10">
        <v>2</v>
      </c>
      <c r="B6" s="32" t="s">
        <v>323</v>
      </c>
      <c r="C6" s="12">
        <v>1</v>
      </c>
      <c r="D6" s="13">
        <v>1600</v>
      </c>
      <c r="E6" s="14">
        <f t="shared" ref="E6:E12" si="0">+C6*D6</f>
        <v>1600</v>
      </c>
      <c r="F6" s="10">
        <v>30</v>
      </c>
      <c r="G6" s="31" t="s">
        <v>29</v>
      </c>
    </row>
    <row r="7" spans="1:7" ht="61.5">
      <c r="A7" s="10">
        <v>3</v>
      </c>
      <c r="B7" s="15" t="s">
        <v>324</v>
      </c>
      <c r="C7" s="12">
        <v>2</v>
      </c>
      <c r="D7" s="38">
        <v>400</v>
      </c>
      <c r="E7" s="14">
        <f t="shared" si="0"/>
        <v>800</v>
      </c>
      <c r="F7" s="10">
        <v>30</v>
      </c>
      <c r="G7" s="15" t="s">
        <v>28</v>
      </c>
    </row>
    <row r="8" spans="1:7" ht="61.5">
      <c r="A8" s="37">
        <v>4</v>
      </c>
      <c r="B8" s="15" t="s">
        <v>325</v>
      </c>
      <c r="C8" s="12">
        <v>2</v>
      </c>
      <c r="D8" s="38">
        <v>500</v>
      </c>
      <c r="E8" s="14">
        <f t="shared" si="0"/>
        <v>1000</v>
      </c>
      <c r="F8" s="10">
        <v>30</v>
      </c>
      <c r="G8" s="15" t="s">
        <v>285</v>
      </c>
    </row>
    <row r="9" spans="1:7">
      <c r="A9" s="101">
        <v>5</v>
      </c>
      <c r="B9" s="102" t="s">
        <v>326</v>
      </c>
      <c r="C9" s="12">
        <v>2</v>
      </c>
      <c r="D9" s="38">
        <v>150</v>
      </c>
      <c r="E9" s="14">
        <f t="shared" si="0"/>
        <v>300</v>
      </c>
      <c r="F9" s="10">
        <v>30</v>
      </c>
      <c r="G9" s="69" t="s">
        <v>50</v>
      </c>
    </row>
    <row r="10" spans="1:7">
      <c r="A10" s="10">
        <v>6</v>
      </c>
      <c r="B10" s="32" t="s">
        <v>327</v>
      </c>
      <c r="C10" s="12">
        <v>2</v>
      </c>
      <c r="D10" s="13">
        <v>150</v>
      </c>
      <c r="E10" s="14">
        <f t="shared" si="0"/>
        <v>300</v>
      </c>
      <c r="F10" s="10">
        <v>30</v>
      </c>
      <c r="G10" s="27" t="s">
        <v>31</v>
      </c>
    </row>
    <row r="11" spans="1:7">
      <c r="A11" s="10">
        <v>7</v>
      </c>
      <c r="B11" s="32" t="s">
        <v>328</v>
      </c>
      <c r="C11" s="12">
        <v>2</v>
      </c>
      <c r="D11" s="13">
        <v>150</v>
      </c>
      <c r="E11" s="14">
        <f t="shared" si="0"/>
        <v>300</v>
      </c>
      <c r="F11" s="10">
        <v>30</v>
      </c>
      <c r="G11" s="31" t="s">
        <v>32</v>
      </c>
    </row>
    <row r="12" spans="1:7">
      <c r="A12" s="10">
        <v>8</v>
      </c>
      <c r="B12" s="32" t="s">
        <v>329</v>
      </c>
      <c r="C12" s="12">
        <v>2</v>
      </c>
      <c r="D12" s="13">
        <v>20</v>
      </c>
      <c r="E12" s="14">
        <f t="shared" si="0"/>
        <v>40</v>
      </c>
      <c r="F12" s="10">
        <v>30</v>
      </c>
      <c r="G12" s="27" t="s">
        <v>33</v>
      </c>
    </row>
    <row r="13" spans="1:7">
      <c r="A13" s="10"/>
      <c r="B13" s="30"/>
      <c r="C13" s="12"/>
      <c r="D13" s="13"/>
      <c r="E13" s="14"/>
      <c r="F13" s="10"/>
      <c r="G13" s="15"/>
    </row>
    <row r="14" spans="1:7">
      <c r="A14" s="2"/>
      <c r="B14" s="30"/>
      <c r="C14" s="12"/>
      <c r="D14" s="13"/>
      <c r="E14" s="14"/>
      <c r="F14" s="3"/>
      <c r="G14" s="15"/>
    </row>
    <row r="15" spans="1:7" ht="23">
      <c r="A15" s="2"/>
      <c r="B15" s="21" t="s">
        <v>6</v>
      </c>
      <c r="C15" s="12"/>
      <c r="D15" s="2"/>
      <c r="E15" s="22">
        <f>SUM(E5:E13)</f>
        <v>5940</v>
      </c>
      <c r="F15" s="2"/>
      <c r="G15" s="2"/>
    </row>
    <row r="16" spans="1:7" ht="24.5">
      <c r="A16" s="2"/>
      <c r="B16" s="21" t="s">
        <v>114</v>
      </c>
      <c r="C16" s="12"/>
      <c r="D16" s="2"/>
      <c r="E16" s="23">
        <f>E15*7%</f>
        <v>415.8</v>
      </c>
      <c r="F16" s="2"/>
      <c r="G16" s="2"/>
    </row>
    <row r="17" spans="1:7" ht="24.5">
      <c r="A17" s="2"/>
      <c r="B17" s="20" t="s">
        <v>35</v>
      </c>
      <c r="C17" s="2"/>
      <c r="D17" s="2"/>
      <c r="E17" s="24">
        <f>SUM(E15:E16)</f>
        <v>6355.8</v>
      </c>
      <c r="F17" s="2"/>
      <c r="G17" s="2"/>
    </row>
    <row r="18" spans="1:7" ht="24.5">
      <c r="A18" s="2"/>
      <c r="B18" s="20"/>
      <c r="C18" s="2"/>
      <c r="D18" s="2"/>
      <c r="E18" s="24"/>
      <c r="F18" s="2"/>
      <c r="G18" s="2"/>
    </row>
    <row r="19" spans="1:7" ht="33">
      <c r="A19" s="2"/>
      <c r="B19" s="26" t="s">
        <v>36</v>
      </c>
      <c r="C19" s="202" t="str">
        <f>BAHTTEXT(E17)</f>
        <v>หกพันสามร้อยห้าสิบห้าบาทแปดสิบสตางค์</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A06F4-283F-4DC6-A3B2-890D22F4509B}">
  <dimension ref="A2:G19"/>
  <sheetViews>
    <sheetView topLeftCell="A4" zoomScale="115" zoomScaleNormal="115" workbookViewId="0">
      <selection activeCell="B7" sqref="B7"/>
    </sheetView>
  </sheetViews>
  <sheetFormatPr defaultColWidth="9.08203125" defaultRowHeight="20.5"/>
  <cols>
    <col min="1" max="1" width="9.08203125" style="1"/>
    <col min="2" max="2" width="42.75" style="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41">
      <c r="A5" s="10">
        <v>1</v>
      </c>
      <c r="B5" s="32" t="s">
        <v>322</v>
      </c>
      <c r="C5" s="12">
        <v>2</v>
      </c>
      <c r="D5" s="13">
        <v>800</v>
      </c>
      <c r="E5" s="14">
        <f>+C5*D5</f>
        <v>1600</v>
      </c>
      <c r="F5" s="10">
        <v>30</v>
      </c>
      <c r="G5" s="29" t="s">
        <v>51</v>
      </c>
    </row>
    <row r="6" spans="1:7">
      <c r="A6" s="10">
        <v>2</v>
      </c>
      <c r="B6" s="32" t="s">
        <v>323</v>
      </c>
      <c r="C6" s="12">
        <v>1</v>
      </c>
      <c r="D6" s="13">
        <v>1600</v>
      </c>
      <c r="E6" s="14">
        <f t="shared" ref="E6:E12" si="0">+C6*D6</f>
        <v>1600</v>
      </c>
      <c r="F6" s="10">
        <v>30</v>
      </c>
      <c r="G6" s="31" t="s">
        <v>29</v>
      </c>
    </row>
    <row r="7" spans="1:7" ht="61.5">
      <c r="A7" s="10">
        <v>3</v>
      </c>
      <c r="B7" s="15" t="s">
        <v>324</v>
      </c>
      <c r="C7" s="12">
        <v>2</v>
      </c>
      <c r="D7" s="38">
        <v>400</v>
      </c>
      <c r="E7" s="14">
        <f t="shared" si="0"/>
        <v>800</v>
      </c>
      <c r="F7" s="10">
        <v>30</v>
      </c>
      <c r="G7" s="15" t="s">
        <v>28</v>
      </c>
    </row>
    <row r="8" spans="1:7" ht="61.5">
      <c r="A8" s="37">
        <v>4</v>
      </c>
      <c r="B8" s="15" t="s">
        <v>325</v>
      </c>
      <c r="C8" s="12">
        <v>2</v>
      </c>
      <c r="D8" s="38">
        <v>500</v>
      </c>
      <c r="E8" s="14">
        <f t="shared" si="0"/>
        <v>1000</v>
      </c>
      <c r="F8" s="10">
        <v>30</v>
      </c>
      <c r="G8" s="15" t="s">
        <v>285</v>
      </c>
    </row>
    <row r="9" spans="1:7">
      <c r="A9" s="101">
        <v>5</v>
      </c>
      <c r="B9" s="102" t="s">
        <v>326</v>
      </c>
      <c r="C9" s="12">
        <v>2</v>
      </c>
      <c r="D9" s="38">
        <v>150</v>
      </c>
      <c r="E9" s="14">
        <f t="shared" si="0"/>
        <v>300</v>
      </c>
      <c r="F9" s="10">
        <v>30</v>
      </c>
      <c r="G9" s="69" t="s">
        <v>50</v>
      </c>
    </row>
    <row r="10" spans="1:7">
      <c r="A10" s="10">
        <v>6</v>
      </c>
      <c r="B10" s="32" t="s">
        <v>327</v>
      </c>
      <c r="C10" s="12">
        <v>2</v>
      </c>
      <c r="D10" s="13">
        <v>150</v>
      </c>
      <c r="E10" s="14">
        <f t="shared" si="0"/>
        <v>300</v>
      </c>
      <c r="F10" s="10">
        <v>30</v>
      </c>
      <c r="G10" s="27" t="s">
        <v>31</v>
      </c>
    </row>
    <row r="11" spans="1:7">
      <c r="A11" s="10">
        <v>7</v>
      </c>
      <c r="B11" s="32" t="s">
        <v>328</v>
      </c>
      <c r="C11" s="12">
        <v>2</v>
      </c>
      <c r="D11" s="13">
        <v>150</v>
      </c>
      <c r="E11" s="14">
        <f t="shared" si="0"/>
        <v>300</v>
      </c>
      <c r="F11" s="10">
        <v>30</v>
      </c>
      <c r="G11" s="31" t="s">
        <v>32</v>
      </c>
    </row>
    <row r="12" spans="1:7">
      <c r="A12" s="10">
        <v>8</v>
      </c>
      <c r="B12" s="32" t="s">
        <v>329</v>
      </c>
      <c r="C12" s="12">
        <v>2</v>
      </c>
      <c r="D12" s="13">
        <v>20</v>
      </c>
      <c r="E12" s="14">
        <f t="shared" si="0"/>
        <v>40</v>
      </c>
      <c r="F12" s="10">
        <v>30</v>
      </c>
      <c r="G12" s="27" t="s">
        <v>33</v>
      </c>
    </row>
    <row r="13" spans="1:7">
      <c r="A13" s="10"/>
      <c r="B13" s="30"/>
      <c r="C13" s="12"/>
      <c r="D13" s="13"/>
      <c r="E13" s="14"/>
      <c r="F13" s="10"/>
      <c r="G13" s="15"/>
    </row>
    <row r="14" spans="1:7">
      <c r="A14" s="2"/>
      <c r="B14" s="30"/>
      <c r="C14" s="12"/>
      <c r="D14" s="13"/>
      <c r="E14" s="14"/>
      <c r="F14" s="3"/>
      <c r="G14" s="15"/>
    </row>
    <row r="15" spans="1:7" ht="23">
      <c r="A15" s="2"/>
      <c r="B15" s="21" t="s">
        <v>6</v>
      </c>
      <c r="C15" s="12"/>
      <c r="D15" s="2"/>
      <c r="E15" s="22">
        <f>SUM(E5:E13)</f>
        <v>5940</v>
      </c>
      <c r="F15" s="2"/>
      <c r="G15" s="2"/>
    </row>
    <row r="16" spans="1:7" ht="24.5">
      <c r="A16" s="2"/>
      <c r="B16" s="21" t="s">
        <v>114</v>
      </c>
      <c r="C16" s="12"/>
      <c r="D16" s="2"/>
      <c r="E16" s="23">
        <f>E15*7%</f>
        <v>415.8</v>
      </c>
      <c r="F16" s="2"/>
      <c r="G16" s="2"/>
    </row>
    <row r="17" spans="1:7" ht="24.5">
      <c r="A17" s="2"/>
      <c r="B17" s="20" t="s">
        <v>35</v>
      </c>
      <c r="C17" s="2"/>
      <c r="D17" s="2"/>
      <c r="E17" s="24">
        <f>SUM(E15:E16)</f>
        <v>6355.8</v>
      </c>
      <c r="F17" s="2"/>
      <c r="G17" s="2"/>
    </row>
    <row r="18" spans="1:7" ht="24.5">
      <c r="A18" s="2"/>
      <c r="B18" s="20"/>
      <c r="C18" s="2"/>
      <c r="D18" s="2"/>
      <c r="E18" s="24"/>
      <c r="F18" s="2"/>
      <c r="G18" s="2"/>
    </row>
    <row r="19" spans="1:7" ht="33">
      <c r="A19" s="2"/>
      <c r="B19" s="26" t="s">
        <v>36</v>
      </c>
      <c r="C19" s="202" t="str">
        <f>BAHTTEXT(E17)</f>
        <v>หกพันสามร้อยห้าสิบห้าบาทแปดสิบสตางค์</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F13F-7000-4891-B447-A1C29E9BFBA9}">
  <dimension ref="A2:G24"/>
  <sheetViews>
    <sheetView zoomScale="115" zoomScaleNormal="115" workbookViewId="0">
      <selection activeCell="G16" sqref="G16"/>
    </sheetView>
  </sheetViews>
  <sheetFormatPr defaultColWidth="9.08203125" defaultRowHeight="20.5"/>
  <cols>
    <col min="1" max="1" width="9.08203125" style="1"/>
    <col min="2" max="2" width="42.75" style="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321</v>
      </c>
      <c r="C5" s="12">
        <v>1</v>
      </c>
      <c r="D5" s="13">
        <v>4500</v>
      </c>
      <c r="E5" s="14">
        <f>+C5*D5</f>
        <v>4500</v>
      </c>
      <c r="F5" s="10">
        <v>30</v>
      </c>
      <c r="G5" s="29" t="s">
        <v>51</v>
      </c>
    </row>
    <row r="6" spans="1:7">
      <c r="A6" s="10"/>
      <c r="B6" s="30"/>
      <c r="C6" s="12"/>
      <c r="D6" s="13"/>
      <c r="E6" s="14"/>
      <c r="F6" s="10"/>
      <c r="G6" s="15" t="s">
        <v>28</v>
      </c>
    </row>
    <row r="7" spans="1:7">
      <c r="A7" s="10"/>
      <c r="B7" s="15"/>
      <c r="C7" s="12"/>
      <c r="D7" s="38"/>
      <c r="E7" s="14"/>
      <c r="F7" s="10"/>
      <c r="G7" s="27" t="s">
        <v>259</v>
      </c>
    </row>
    <row r="8" spans="1:7">
      <c r="A8" s="2"/>
      <c r="B8" s="15"/>
      <c r="C8" s="12"/>
      <c r="D8" s="38"/>
      <c r="E8" s="14"/>
      <c r="F8" s="10"/>
      <c r="G8" s="15" t="s">
        <v>29</v>
      </c>
    </row>
    <row r="9" spans="1:7">
      <c r="A9" s="79"/>
      <c r="B9" s="39"/>
      <c r="C9" s="12"/>
      <c r="D9" s="38"/>
      <c r="E9" s="14"/>
      <c r="F9" s="10"/>
      <c r="G9" s="29" t="s">
        <v>50</v>
      </c>
    </row>
    <row r="10" spans="1:7">
      <c r="A10" s="10"/>
      <c r="B10" s="30"/>
      <c r="C10" s="12"/>
      <c r="D10" s="13"/>
      <c r="E10" s="14"/>
      <c r="F10" s="10"/>
      <c r="G10" s="40" t="s">
        <v>31</v>
      </c>
    </row>
    <row r="11" spans="1:7">
      <c r="A11" s="10"/>
      <c r="B11" s="30"/>
      <c r="C11" s="12"/>
      <c r="D11" s="13"/>
      <c r="E11" s="14"/>
      <c r="F11" s="10"/>
      <c r="G11" s="15" t="s">
        <v>32</v>
      </c>
    </row>
    <row r="12" spans="1:7">
      <c r="A12" s="10"/>
      <c r="B12" s="30"/>
      <c r="C12" s="12"/>
      <c r="D12" s="13"/>
      <c r="E12" s="14"/>
      <c r="F12" s="10"/>
      <c r="G12" s="15" t="s">
        <v>285</v>
      </c>
    </row>
    <row r="13" spans="1:7">
      <c r="A13" s="10"/>
      <c r="B13" s="30"/>
      <c r="C13" s="12"/>
      <c r="D13" s="13"/>
      <c r="E13" s="14"/>
      <c r="F13" s="10"/>
      <c r="G13" s="15"/>
    </row>
    <row r="14" spans="1:7">
      <c r="A14" s="10"/>
      <c r="B14" s="30"/>
      <c r="C14" s="12"/>
      <c r="D14" s="13"/>
      <c r="E14" s="14"/>
      <c r="F14" s="10"/>
      <c r="G14" s="15"/>
    </row>
    <row r="15" spans="1:7">
      <c r="A15" s="10"/>
      <c r="B15" s="30"/>
      <c r="C15" s="12"/>
      <c r="D15" s="13"/>
      <c r="E15" s="14"/>
      <c r="F15" s="10"/>
      <c r="G15" s="15"/>
    </row>
    <row r="16" spans="1:7">
      <c r="A16" s="10"/>
      <c r="B16" s="30"/>
      <c r="C16" s="12"/>
      <c r="D16" s="13"/>
      <c r="E16" s="14"/>
      <c r="F16" s="10"/>
      <c r="G16" s="15"/>
    </row>
    <row r="17" spans="1:7">
      <c r="A17" s="2"/>
      <c r="B17" s="30"/>
      <c r="C17" s="12"/>
      <c r="D17" s="13"/>
      <c r="E17" s="14"/>
      <c r="F17" s="3"/>
      <c r="G17" s="15"/>
    </row>
    <row r="18" spans="1:7">
      <c r="A18" s="2"/>
      <c r="B18" s="30"/>
      <c r="C18" s="12"/>
      <c r="D18" s="13"/>
      <c r="E18" s="14"/>
      <c r="F18" s="3"/>
      <c r="G18" s="15"/>
    </row>
    <row r="19" spans="1:7">
      <c r="A19" s="2"/>
      <c r="B19" s="30"/>
      <c r="C19" s="12"/>
      <c r="D19" s="13"/>
      <c r="E19" s="14"/>
      <c r="F19" s="3"/>
      <c r="G19" s="15"/>
    </row>
    <row r="20" spans="1:7" ht="23">
      <c r="A20" s="2"/>
      <c r="B20" s="21" t="s">
        <v>6</v>
      </c>
      <c r="C20" s="12"/>
      <c r="D20" s="2"/>
      <c r="E20" s="22">
        <f>SUM(E5:E17)</f>
        <v>4500</v>
      </c>
      <c r="F20" s="2"/>
      <c r="G20" s="2"/>
    </row>
    <row r="21" spans="1:7" ht="24.5">
      <c r="A21" s="2"/>
      <c r="B21" s="21" t="s">
        <v>114</v>
      </c>
      <c r="C21" s="12"/>
      <c r="D21" s="2"/>
      <c r="E21" s="23">
        <v>0</v>
      </c>
      <c r="F21" s="2"/>
      <c r="G21" s="2"/>
    </row>
    <row r="22" spans="1:7" ht="24.5">
      <c r="A22" s="2"/>
      <c r="B22" s="20" t="s">
        <v>35</v>
      </c>
      <c r="C22" s="2"/>
      <c r="D22" s="2"/>
      <c r="E22" s="24">
        <f>SUM(E20:E21)</f>
        <v>4500</v>
      </c>
      <c r="F22" s="2"/>
      <c r="G22" s="2"/>
    </row>
    <row r="23" spans="1:7" ht="24.5">
      <c r="A23" s="2"/>
      <c r="B23" s="20"/>
      <c r="C23" s="2"/>
      <c r="D23" s="2"/>
      <c r="E23" s="24"/>
      <c r="F23" s="2"/>
      <c r="G23" s="2"/>
    </row>
    <row r="24" spans="1:7" ht="33">
      <c r="A24" s="2"/>
      <c r="B24" s="26" t="s">
        <v>36</v>
      </c>
      <c r="C24" s="202" t="str">
        <f>BAHTTEXT(E22)</f>
        <v>สี่พันห้าร้อยบาทถ้วน</v>
      </c>
      <c r="D24" s="203"/>
      <c r="E24" s="203"/>
      <c r="F24" s="203"/>
      <c r="G24" s="204"/>
    </row>
  </sheetData>
  <mergeCells count="6">
    <mergeCell ref="C24:G24"/>
    <mergeCell ref="A2:A4"/>
    <mergeCell ref="B2:B4"/>
    <mergeCell ref="C2:C4"/>
    <mergeCell ref="D2:E2"/>
    <mergeCell ref="F2:F4"/>
  </mergeCells>
  <pageMargins left="0.7" right="0.7" top="0.75" bottom="0.75" header="0.3" footer="0.3"/>
  <pageSetup paperSize="9" scale="63"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A100-8E8F-4AF6-BB36-C1BEF4163F43}">
  <dimension ref="A2:G24"/>
  <sheetViews>
    <sheetView zoomScale="115" zoomScaleNormal="115" workbookViewId="0">
      <selection activeCell="A2" sqref="A2:G24"/>
    </sheetView>
  </sheetViews>
  <sheetFormatPr defaultColWidth="9.08203125" defaultRowHeight="20.5"/>
  <cols>
    <col min="1" max="1" width="9.08203125" style="1"/>
    <col min="2" max="2" width="42.75" style="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315</v>
      </c>
      <c r="C5" s="12">
        <v>2</v>
      </c>
      <c r="D5" s="13">
        <v>39</v>
      </c>
      <c r="E5" s="14">
        <f>+C5*D5</f>
        <v>78</v>
      </c>
      <c r="F5" s="10">
        <v>30</v>
      </c>
      <c r="G5" s="29" t="s">
        <v>51</v>
      </c>
    </row>
    <row r="6" spans="1:7">
      <c r="A6" s="10">
        <v>2</v>
      </c>
      <c r="B6" s="30" t="s">
        <v>316</v>
      </c>
      <c r="C6" s="12">
        <v>20</v>
      </c>
      <c r="D6" s="13">
        <v>59</v>
      </c>
      <c r="E6" s="14">
        <f t="shared" ref="E6:E11" si="0">+C6*D6</f>
        <v>1180</v>
      </c>
      <c r="F6" s="10">
        <v>30</v>
      </c>
      <c r="G6" s="15" t="s">
        <v>28</v>
      </c>
    </row>
    <row r="7" spans="1:7">
      <c r="A7" s="10">
        <v>3</v>
      </c>
      <c r="B7" s="15" t="s">
        <v>186</v>
      </c>
      <c r="C7" s="12">
        <v>10</v>
      </c>
      <c r="D7" s="38">
        <v>168</v>
      </c>
      <c r="E7" s="14">
        <f t="shared" si="0"/>
        <v>1680</v>
      </c>
      <c r="F7" s="10">
        <v>30</v>
      </c>
      <c r="G7" s="27" t="s">
        <v>259</v>
      </c>
    </row>
    <row r="8" spans="1:7">
      <c r="A8" s="2">
        <v>4</v>
      </c>
      <c r="B8" s="15" t="s">
        <v>317</v>
      </c>
      <c r="C8" s="12">
        <v>10</v>
      </c>
      <c r="D8" s="38">
        <v>125</v>
      </c>
      <c r="E8" s="14">
        <f t="shared" si="0"/>
        <v>1250</v>
      </c>
      <c r="F8" s="10">
        <v>30</v>
      </c>
      <c r="G8" s="15" t="s">
        <v>29</v>
      </c>
    </row>
    <row r="9" spans="1:7">
      <c r="A9" s="79">
        <v>5</v>
      </c>
      <c r="B9" s="39" t="s">
        <v>318</v>
      </c>
      <c r="C9" s="12">
        <v>1</v>
      </c>
      <c r="D9" s="38">
        <v>160</v>
      </c>
      <c r="E9" s="14">
        <f t="shared" si="0"/>
        <v>160</v>
      </c>
      <c r="F9" s="10">
        <v>30</v>
      </c>
      <c r="G9" s="29" t="s">
        <v>50</v>
      </c>
    </row>
    <row r="10" spans="1:7">
      <c r="A10" s="10">
        <v>6</v>
      </c>
      <c r="B10" s="30" t="s">
        <v>319</v>
      </c>
      <c r="C10" s="12">
        <v>1</v>
      </c>
      <c r="D10" s="13">
        <v>420</v>
      </c>
      <c r="E10" s="14">
        <f t="shared" si="0"/>
        <v>420</v>
      </c>
      <c r="F10" s="10">
        <v>30</v>
      </c>
      <c r="G10" s="40" t="s">
        <v>31</v>
      </c>
    </row>
    <row r="11" spans="1:7">
      <c r="A11" s="10">
        <v>7</v>
      </c>
      <c r="B11" s="30" t="s">
        <v>320</v>
      </c>
      <c r="C11" s="12">
        <v>1</v>
      </c>
      <c r="D11" s="13">
        <v>330</v>
      </c>
      <c r="E11" s="14">
        <f t="shared" si="0"/>
        <v>330</v>
      </c>
      <c r="F11" s="10">
        <v>30</v>
      </c>
      <c r="G11" s="15" t="s">
        <v>32</v>
      </c>
    </row>
    <row r="12" spans="1:7">
      <c r="A12" s="10"/>
      <c r="B12" s="30"/>
      <c r="C12" s="12"/>
      <c r="D12" s="13"/>
      <c r="E12" s="14"/>
      <c r="F12" s="10"/>
      <c r="G12" s="15" t="s">
        <v>285</v>
      </c>
    </row>
    <row r="13" spans="1:7">
      <c r="A13" s="10"/>
      <c r="B13" s="30"/>
      <c r="C13" s="12"/>
      <c r="D13" s="13"/>
      <c r="E13" s="14"/>
      <c r="F13" s="10"/>
      <c r="G13" s="15"/>
    </row>
    <row r="14" spans="1:7">
      <c r="A14" s="10"/>
      <c r="B14" s="30"/>
      <c r="C14" s="12"/>
      <c r="D14" s="13"/>
      <c r="E14" s="14"/>
      <c r="F14" s="10"/>
      <c r="G14" s="15"/>
    </row>
    <row r="15" spans="1:7">
      <c r="A15" s="10"/>
      <c r="B15" s="30"/>
      <c r="C15" s="12"/>
      <c r="D15" s="13"/>
      <c r="E15" s="14"/>
      <c r="F15" s="10"/>
      <c r="G15" s="15"/>
    </row>
    <row r="16" spans="1:7">
      <c r="A16" s="10"/>
      <c r="B16" s="30"/>
      <c r="C16" s="12"/>
      <c r="D16" s="13"/>
      <c r="E16" s="14"/>
      <c r="F16" s="10"/>
      <c r="G16" s="15"/>
    </row>
    <row r="17" spans="1:7">
      <c r="A17" s="2"/>
      <c r="B17" s="30"/>
      <c r="C17" s="12"/>
      <c r="D17" s="13"/>
      <c r="E17" s="14"/>
      <c r="F17" s="3"/>
      <c r="G17" s="15"/>
    </row>
    <row r="18" spans="1:7">
      <c r="A18" s="2"/>
      <c r="B18" s="30"/>
      <c r="C18" s="12"/>
      <c r="D18" s="13"/>
      <c r="E18" s="14"/>
      <c r="F18" s="3"/>
      <c r="G18" s="15"/>
    </row>
    <row r="19" spans="1:7">
      <c r="A19" s="2"/>
      <c r="B19" s="30"/>
      <c r="C19" s="12"/>
      <c r="D19" s="13"/>
      <c r="E19" s="14"/>
      <c r="F19" s="3"/>
      <c r="G19" s="15"/>
    </row>
    <row r="20" spans="1:7" ht="23">
      <c r="A20" s="2"/>
      <c r="B20" s="21" t="s">
        <v>6</v>
      </c>
      <c r="C20" s="12"/>
      <c r="D20" s="2"/>
      <c r="E20" s="22">
        <f>SUM(E5:E17)</f>
        <v>5098</v>
      </c>
      <c r="F20" s="2"/>
      <c r="G20" s="2"/>
    </row>
    <row r="21" spans="1:7" ht="24.5">
      <c r="A21" s="2"/>
      <c r="B21" s="21" t="s">
        <v>114</v>
      </c>
      <c r="C21" s="12"/>
      <c r="D21" s="2"/>
      <c r="E21" s="23">
        <f>E20*7%</f>
        <v>356.86</v>
      </c>
      <c r="F21" s="2"/>
      <c r="G21" s="2"/>
    </row>
    <row r="22" spans="1:7" ht="24.5">
      <c r="A22" s="2"/>
      <c r="B22" s="20" t="s">
        <v>35</v>
      </c>
      <c r="C22" s="2"/>
      <c r="D22" s="2"/>
      <c r="E22" s="24">
        <f>SUM(E20:E21)</f>
        <v>5454.86</v>
      </c>
      <c r="F22" s="2"/>
      <c r="G22" s="2"/>
    </row>
    <row r="23" spans="1:7" ht="24.5">
      <c r="A23" s="2"/>
      <c r="B23" s="20"/>
      <c r="C23" s="2"/>
      <c r="D23" s="2"/>
      <c r="E23" s="24"/>
      <c r="F23" s="2"/>
      <c r="G23" s="2"/>
    </row>
    <row r="24" spans="1:7" ht="33">
      <c r="A24" s="2"/>
      <c r="B24" s="26" t="s">
        <v>36</v>
      </c>
      <c r="C24" s="202" t="str">
        <f>BAHTTEXT(E22)</f>
        <v>ห้าพันสี่ร้อยห้าสิบสี่บาทแปดสิบหกสตางค์</v>
      </c>
      <c r="D24" s="203"/>
      <c r="E24" s="203"/>
      <c r="F24" s="203"/>
      <c r="G24" s="204"/>
    </row>
  </sheetData>
  <mergeCells count="6">
    <mergeCell ref="C24:G24"/>
    <mergeCell ref="A2:A4"/>
    <mergeCell ref="B2:B4"/>
    <mergeCell ref="C2:C4"/>
    <mergeCell ref="D2:E2"/>
    <mergeCell ref="F2:F4"/>
  </mergeCells>
  <pageMargins left="0.7" right="0.7" top="0.75" bottom="0.75" header="0.3" footer="0.3"/>
  <pageSetup paperSize="9" scale="63"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61AE-23F6-4C2B-82A8-57C80BD9A7FC}">
  <dimension ref="A2:G24"/>
  <sheetViews>
    <sheetView topLeftCell="A11" zoomScale="115" zoomScaleNormal="115" workbookViewId="0">
      <selection activeCell="B19" sqref="B19"/>
    </sheetView>
  </sheetViews>
  <sheetFormatPr defaultColWidth="9.08203125" defaultRowHeight="20.5"/>
  <cols>
    <col min="1" max="1" width="9.08203125" style="1"/>
    <col min="2" max="2" width="42.75" style="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41">
      <c r="A5" s="10">
        <v>1</v>
      </c>
      <c r="B5" s="30" t="s">
        <v>300</v>
      </c>
      <c r="C5" s="12">
        <v>100</v>
      </c>
      <c r="D5" s="13"/>
      <c r="E5" s="14">
        <f>+C5*D5</f>
        <v>0</v>
      </c>
      <c r="F5" s="10">
        <v>30</v>
      </c>
      <c r="G5" s="29" t="s">
        <v>51</v>
      </c>
    </row>
    <row r="6" spans="1:7">
      <c r="A6" s="10">
        <v>2</v>
      </c>
      <c r="B6" s="30" t="s">
        <v>301</v>
      </c>
      <c r="C6" s="12">
        <v>2</v>
      </c>
      <c r="D6" s="13"/>
      <c r="E6" s="14"/>
      <c r="F6" s="10"/>
      <c r="G6" s="15" t="s">
        <v>28</v>
      </c>
    </row>
    <row r="7" spans="1:7">
      <c r="A7" s="10">
        <v>3</v>
      </c>
      <c r="B7" s="15" t="s">
        <v>302</v>
      </c>
      <c r="C7" s="12">
        <v>20</v>
      </c>
      <c r="D7" s="38"/>
      <c r="E7" s="14"/>
      <c r="F7" s="10"/>
      <c r="G7" s="27" t="s">
        <v>259</v>
      </c>
    </row>
    <row r="8" spans="1:7">
      <c r="A8" s="2">
        <v>4</v>
      </c>
      <c r="B8" s="15" t="s">
        <v>303</v>
      </c>
      <c r="C8" s="12">
        <v>2</v>
      </c>
      <c r="D8" s="38"/>
      <c r="E8" s="14"/>
      <c r="F8" s="10"/>
      <c r="G8" s="15" t="s">
        <v>29</v>
      </c>
    </row>
    <row r="9" spans="1:7" ht="41">
      <c r="A9" s="79">
        <v>5</v>
      </c>
      <c r="B9" s="39" t="s">
        <v>304</v>
      </c>
      <c r="C9" s="12">
        <v>12</v>
      </c>
      <c r="D9" s="38"/>
      <c r="E9" s="14"/>
      <c r="F9" s="10"/>
      <c r="G9" s="29" t="s">
        <v>50</v>
      </c>
    </row>
    <row r="10" spans="1:7" ht="41">
      <c r="A10" s="10">
        <v>6</v>
      </c>
      <c r="B10" s="30" t="s">
        <v>305</v>
      </c>
      <c r="C10" s="12">
        <v>10</v>
      </c>
      <c r="D10" s="13"/>
      <c r="E10" s="14"/>
      <c r="F10" s="10"/>
      <c r="G10" s="40" t="s">
        <v>31</v>
      </c>
    </row>
    <row r="11" spans="1:7" ht="41">
      <c r="A11" s="10">
        <v>7</v>
      </c>
      <c r="B11" s="30" t="s">
        <v>306</v>
      </c>
      <c r="C11" s="12">
        <v>1</v>
      </c>
      <c r="D11" s="13"/>
      <c r="E11" s="14"/>
      <c r="F11" s="10"/>
      <c r="G11" s="15" t="s">
        <v>32</v>
      </c>
    </row>
    <row r="12" spans="1:7" ht="41">
      <c r="A12" s="10">
        <v>8</v>
      </c>
      <c r="B12" s="30" t="s">
        <v>307</v>
      </c>
      <c r="C12" s="12">
        <v>1</v>
      </c>
      <c r="D12" s="13"/>
      <c r="E12" s="14"/>
      <c r="F12" s="10"/>
      <c r="G12" s="15" t="s">
        <v>285</v>
      </c>
    </row>
    <row r="13" spans="1:7">
      <c r="A13" s="10">
        <v>9</v>
      </c>
      <c r="B13" s="30" t="s">
        <v>308</v>
      </c>
      <c r="C13" s="12">
        <v>12</v>
      </c>
      <c r="D13" s="13"/>
      <c r="E13" s="14"/>
      <c r="F13" s="10"/>
      <c r="G13" s="15"/>
    </row>
    <row r="14" spans="1:7">
      <c r="A14" s="10">
        <v>10</v>
      </c>
      <c r="B14" s="30" t="s">
        <v>309</v>
      </c>
      <c r="C14" s="12">
        <v>1</v>
      </c>
      <c r="D14" s="13"/>
      <c r="E14" s="14"/>
      <c r="F14" s="10"/>
      <c r="G14" s="15"/>
    </row>
    <row r="15" spans="1:7">
      <c r="A15" s="10">
        <v>11</v>
      </c>
      <c r="B15" s="30" t="s">
        <v>310</v>
      </c>
      <c r="C15" s="12">
        <v>1</v>
      </c>
      <c r="D15" s="13"/>
      <c r="E15" s="14"/>
      <c r="F15" s="10"/>
      <c r="G15" s="15"/>
    </row>
    <row r="16" spans="1:7">
      <c r="A16" s="10">
        <v>12</v>
      </c>
      <c r="B16" s="30" t="s">
        <v>311</v>
      </c>
      <c r="C16" s="12">
        <v>2</v>
      </c>
      <c r="D16" s="13"/>
      <c r="E16" s="14"/>
      <c r="F16" s="10"/>
      <c r="G16" s="15"/>
    </row>
    <row r="17" spans="1:7">
      <c r="A17" s="2">
        <v>13</v>
      </c>
      <c r="B17" s="30" t="s">
        <v>312</v>
      </c>
      <c r="C17" s="12">
        <v>100</v>
      </c>
      <c r="D17" s="13"/>
      <c r="E17" s="14"/>
      <c r="F17" s="3"/>
      <c r="G17" s="15"/>
    </row>
    <row r="18" spans="1:7">
      <c r="A18" s="2">
        <v>14</v>
      </c>
      <c r="B18" s="30" t="s">
        <v>313</v>
      </c>
      <c r="C18" s="12">
        <v>40</v>
      </c>
      <c r="D18" s="13"/>
      <c r="E18" s="14"/>
      <c r="F18" s="3"/>
      <c r="G18" s="15"/>
    </row>
    <row r="19" spans="1:7">
      <c r="A19" s="2">
        <v>15</v>
      </c>
      <c r="B19" s="30" t="s">
        <v>314</v>
      </c>
      <c r="C19" s="12">
        <v>30</v>
      </c>
      <c r="D19" s="13"/>
      <c r="E19" s="14"/>
      <c r="F19" s="3"/>
      <c r="G19" s="15"/>
    </row>
    <row r="20" spans="1:7" ht="23">
      <c r="A20" s="2"/>
      <c r="B20" s="21" t="s">
        <v>6</v>
      </c>
      <c r="C20" s="12"/>
      <c r="D20" s="2"/>
      <c r="E20" s="22">
        <f>SUM(E5:E17)</f>
        <v>0</v>
      </c>
      <c r="F20" s="2"/>
      <c r="G20" s="2"/>
    </row>
    <row r="21" spans="1:7" ht="24.5">
      <c r="A21" s="2"/>
      <c r="B21" s="21" t="s">
        <v>114</v>
      </c>
      <c r="C21" s="12"/>
      <c r="D21" s="2"/>
      <c r="E21" s="23">
        <f>E20*7%</f>
        <v>0</v>
      </c>
      <c r="F21" s="2"/>
      <c r="G21" s="2"/>
    </row>
    <row r="22" spans="1:7" ht="24.5">
      <c r="A22" s="2"/>
      <c r="B22" s="20" t="s">
        <v>35</v>
      </c>
      <c r="C22" s="2"/>
      <c r="D22" s="2"/>
      <c r="E22" s="24">
        <f>SUM(E20:E21)</f>
        <v>0</v>
      </c>
      <c r="F22" s="2"/>
      <c r="G22" s="2"/>
    </row>
    <row r="23" spans="1:7" ht="24.5">
      <c r="A23" s="2"/>
      <c r="B23" s="20"/>
      <c r="C23" s="2"/>
      <c r="D23" s="2"/>
      <c r="E23" s="24"/>
      <c r="F23" s="2"/>
      <c r="G23" s="2"/>
    </row>
    <row r="24" spans="1:7" ht="33">
      <c r="A24" s="2"/>
      <c r="B24" s="26" t="s">
        <v>36</v>
      </c>
      <c r="C24" s="202" t="str">
        <f>BAHTTEXT(E22)</f>
        <v>ศูนย์บาทถ้วน</v>
      </c>
      <c r="D24" s="203"/>
      <c r="E24" s="203"/>
      <c r="F24" s="203"/>
      <c r="G24" s="204"/>
    </row>
  </sheetData>
  <mergeCells count="6">
    <mergeCell ref="C24:G24"/>
    <mergeCell ref="A2:A4"/>
    <mergeCell ref="B2:B4"/>
    <mergeCell ref="C2:C4"/>
    <mergeCell ref="D2:E2"/>
    <mergeCell ref="F2:F4"/>
  </mergeCells>
  <pageMargins left="0.7" right="0.7" top="0.75" bottom="0.75" header="0.3" footer="0.3"/>
  <pageSetup paperSize="9" scale="63"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A03C5-AA10-4207-AAD1-0B3E78AE3CE9}">
  <dimension ref="A2:G17"/>
  <sheetViews>
    <sheetView zoomScale="115" zoomScaleNormal="115" workbookViewId="0">
      <selection activeCell="A2" sqref="A2:G17"/>
    </sheetView>
  </sheetViews>
  <sheetFormatPr defaultColWidth="9.08203125" defaultRowHeight="20.5"/>
  <cols>
    <col min="1" max="1" width="9.08203125" style="1"/>
    <col min="2" max="2" width="44.25" style="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46" t="s">
        <v>295</v>
      </c>
      <c r="C5" s="12">
        <v>1</v>
      </c>
      <c r="D5" s="13">
        <v>2000</v>
      </c>
      <c r="E5" s="14">
        <f>+C5*D5</f>
        <v>2000</v>
      </c>
      <c r="F5" s="10">
        <v>30</v>
      </c>
      <c r="G5" s="29" t="s">
        <v>51</v>
      </c>
    </row>
    <row r="6" spans="1:7">
      <c r="A6" s="10">
        <v>2</v>
      </c>
      <c r="B6" s="46" t="s">
        <v>296</v>
      </c>
      <c r="C6" s="12">
        <v>2</v>
      </c>
      <c r="D6" s="13">
        <v>150</v>
      </c>
      <c r="E6" s="14">
        <f t="shared" ref="E6:E8" si="0">+C6*D6</f>
        <v>300</v>
      </c>
      <c r="F6" s="10">
        <v>30</v>
      </c>
      <c r="G6" s="15" t="s">
        <v>29</v>
      </c>
    </row>
    <row r="7" spans="1:7">
      <c r="A7" s="10">
        <v>3</v>
      </c>
      <c r="B7" s="15" t="s">
        <v>297</v>
      </c>
      <c r="C7" s="12">
        <v>1</v>
      </c>
      <c r="D7" s="38">
        <v>200</v>
      </c>
      <c r="E7" s="14">
        <f t="shared" si="0"/>
        <v>200</v>
      </c>
      <c r="F7" s="10">
        <v>30</v>
      </c>
      <c r="G7" s="15" t="s">
        <v>28</v>
      </c>
    </row>
    <row r="8" spans="1:7">
      <c r="A8" s="2">
        <v>4</v>
      </c>
      <c r="B8" s="15" t="s">
        <v>298</v>
      </c>
      <c r="C8" s="12">
        <v>28</v>
      </c>
      <c r="D8" s="38">
        <v>70</v>
      </c>
      <c r="E8" s="14">
        <f t="shared" si="0"/>
        <v>1960</v>
      </c>
      <c r="F8" s="10">
        <v>30</v>
      </c>
      <c r="G8" s="15" t="s">
        <v>285</v>
      </c>
    </row>
    <row r="9" spans="1:7">
      <c r="A9" s="79"/>
      <c r="B9" s="39"/>
      <c r="C9" s="12"/>
      <c r="D9" s="38"/>
      <c r="E9" s="14"/>
      <c r="F9" s="10"/>
      <c r="G9" s="29" t="s">
        <v>50</v>
      </c>
    </row>
    <row r="10" spans="1:7">
      <c r="A10" s="10"/>
      <c r="B10" s="30"/>
      <c r="C10" s="12"/>
      <c r="D10" s="13"/>
      <c r="E10" s="14"/>
      <c r="F10" s="10"/>
      <c r="G10" s="40" t="s">
        <v>31</v>
      </c>
    </row>
    <row r="11" spans="1:7">
      <c r="A11" s="10"/>
      <c r="B11" s="30"/>
      <c r="C11" s="12"/>
      <c r="D11" s="13"/>
      <c r="E11" s="14"/>
      <c r="F11" s="10"/>
      <c r="G11" s="15" t="s">
        <v>32</v>
      </c>
    </row>
    <row r="12" spans="1:7">
      <c r="A12" s="10"/>
      <c r="B12" s="30"/>
      <c r="C12" s="12"/>
      <c r="D12" s="13"/>
      <c r="E12" s="14"/>
      <c r="F12" s="10"/>
      <c r="G12" s="15" t="s">
        <v>33</v>
      </c>
    </row>
    <row r="13" spans="1:7" ht="23">
      <c r="A13" s="2"/>
      <c r="B13" s="21" t="s">
        <v>6</v>
      </c>
      <c r="C13" s="12"/>
      <c r="D13" s="2"/>
      <c r="E13" s="22">
        <f>SUM(E5:E12)</f>
        <v>4460</v>
      </c>
      <c r="F13" s="2"/>
      <c r="G13" s="2"/>
    </row>
    <row r="14" spans="1:7" ht="24.5">
      <c r="A14" s="2"/>
      <c r="B14" s="21" t="s">
        <v>114</v>
      </c>
      <c r="C14" s="12"/>
      <c r="D14" s="2"/>
      <c r="E14" s="23">
        <f>E13*7%</f>
        <v>312.20000000000005</v>
      </c>
      <c r="F14" s="2"/>
      <c r="G14" s="2"/>
    </row>
    <row r="15" spans="1:7" ht="24.5">
      <c r="A15" s="2"/>
      <c r="B15" s="20" t="s">
        <v>35</v>
      </c>
      <c r="C15" s="2"/>
      <c r="D15" s="2"/>
      <c r="E15" s="24">
        <f>SUM(E13:E14)</f>
        <v>4772.2</v>
      </c>
      <c r="F15" s="2"/>
      <c r="G15" s="2"/>
    </row>
    <row r="16" spans="1:7" ht="24.5">
      <c r="A16" s="2"/>
      <c r="B16" s="20"/>
      <c r="C16" s="2"/>
      <c r="D16" s="2"/>
      <c r="E16" s="24"/>
      <c r="F16" s="2"/>
      <c r="G16" s="2"/>
    </row>
    <row r="17" spans="1:7" ht="33">
      <c r="A17" s="2"/>
      <c r="B17" s="26" t="s">
        <v>36</v>
      </c>
      <c r="C17" s="202" t="str">
        <f>BAHTTEXT(E15)</f>
        <v>สี่พันเจ็ดร้อยเจ็ดสิบสองบาทยี่สิบสตางค์</v>
      </c>
      <c r="D17" s="203"/>
      <c r="E17" s="203"/>
      <c r="F17" s="203"/>
      <c r="G17" s="204"/>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2CCEF-C246-4364-97A4-495DCD266AAD}">
  <dimension ref="A2:G19"/>
  <sheetViews>
    <sheetView zoomScale="115" zoomScaleNormal="115" workbookViewId="0">
      <selection activeCell="A2" sqref="A2:G19"/>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286</v>
      </c>
      <c r="C5" s="12">
        <v>8</v>
      </c>
      <c r="D5" s="13">
        <v>400</v>
      </c>
      <c r="E5" s="14">
        <f>+C5*D5</f>
        <v>3200</v>
      </c>
      <c r="F5" s="10">
        <v>30</v>
      </c>
      <c r="G5" s="29" t="s">
        <v>51</v>
      </c>
    </row>
    <row r="6" spans="1:7">
      <c r="A6" s="10">
        <v>2</v>
      </c>
      <c r="B6" s="30" t="s">
        <v>287</v>
      </c>
      <c r="C6" s="12">
        <v>1</v>
      </c>
      <c r="D6" s="13">
        <v>2000</v>
      </c>
      <c r="E6" s="14">
        <f t="shared" ref="E6:E13" si="0">+C6*D6</f>
        <v>2000</v>
      </c>
      <c r="F6" s="10">
        <v>30</v>
      </c>
      <c r="G6" s="15" t="s">
        <v>29</v>
      </c>
    </row>
    <row r="7" spans="1:7">
      <c r="A7" s="10">
        <v>3</v>
      </c>
      <c r="B7" s="15" t="s">
        <v>288</v>
      </c>
      <c r="C7" s="12">
        <v>1</v>
      </c>
      <c r="D7" s="38">
        <v>1500</v>
      </c>
      <c r="E7" s="14">
        <f t="shared" si="0"/>
        <v>1500</v>
      </c>
      <c r="F7" s="10">
        <v>30</v>
      </c>
      <c r="G7" s="15" t="s">
        <v>28</v>
      </c>
    </row>
    <row r="8" spans="1:7">
      <c r="A8" s="2">
        <v>4</v>
      </c>
      <c r="B8" s="15" t="s">
        <v>289</v>
      </c>
      <c r="C8" s="12">
        <v>1</v>
      </c>
      <c r="D8" s="38">
        <v>1000</v>
      </c>
      <c r="E8" s="14">
        <f t="shared" si="0"/>
        <v>1000</v>
      </c>
      <c r="F8" s="10">
        <v>30</v>
      </c>
      <c r="G8" s="15" t="s">
        <v>285</v>
      </c>
    </row>
    <row r="9" spans="1:7">
      <c r="A9" s="79">
        <v>5</v>
      </c>
      <c r="B9" s="39" t="s">
        <v>290</v>
      </c>
      <c r="C9" s="12">
        <v>2</v>
      </c>
      <c r="D9" s="38">
        <v>200</v>
      </c>
      <c r="E9" s="14">
        <f t="shared" si="0"/>
        <v>400</v>
      </c>
      <c r="F9" s="10">
        <v>30</v>
      </c>
      <c r="G9" s="29" t="s">
        <v>50</v>
      </c>
    </row>
    <row r="10" spans="1:7">
      <c r="A10" s="10">
        <v>6</v>
      </c>
      <c r="B10" s="30" t="s">
        <v>291</v>
      </c>
      <c r="C10" s="12">
        <v>2</v>
      </c>
      <c r="D10" s="13">
        <v>1000</v>
      </c>
      <c r="E10" s="14">
        <f t="shared" si="0"/>
        <v>2000</v>
      </c>
      <c r="F10" s="10">
        <v>30</v>
      </c>
      <c r="G10" s="40" t="s">
        <v>31</v>
      </c>
    </row>
    <row r="11" spans="1:7">
      <c r="A11" s="10">
        <v>7</v>
      </c>
      <c r="B11" s="30" t="s">
        <v>292</v>
      </c>
      <c r="C11" s="12">
        <v>2</v>
      </c>
      <c r="D11" s="13">
        <v>250</v>
      </c>
      <c r="E11" s="14">
        <f t="shared" si="0"/>
        <v>500</v>
      </c>
      <c r="F11" s="10">
        <v>30</v>
      </c>
      <c r="G11" s="15" t="s">
        <v>32</v>
      </c>
    </row>
    <row r="12" spans="1:7">
      <c r="A12" s="10">
        <v>8</v>
      </c>
      <c r="B12" s="30" t="s">
        <v>293</v>
      </c>
      <c r="C12" s="12">
        <v>2</v>
      </c>
      <c r="D12" s="13">
        <v>100</v>
      </c>
      <c r="E12" s="14">
        <f t="shared" si="0"/>
        <v>200</v>
      </c>
      <c r="F12" s="10">
        <v>30</v>
      </c>
      <c r="G12" s="15" t="s">
        <v>33</v>
      </c>
    </row>
    <row r="13" spans="1:7">
      <c r="A13" s="10">
        <v>9</v>
      </c>
      <c r="B13" s="30" t="s">
        <v>294</v>
      </c>
      <c r="C13" s="12">
        <v>10</v>
      </c>
      <c r="D13" s="13">
        <v>50</v>
      </c>
      <c r="E13" s="14">
        <f t="shared" si="0"/>
        <v>500</v>
      </c>
      <c r="F13" s="10">
        <v>30</v>
      </c>
      <c r="G13" s="15"/>
    </row>
    <row r="14" spans="1:7">
      <c r="A14" s="10"/>
      <c r="B14" s="30"/>
      <c r="C14" s="12"/>
      <c r="D14" s="13"/>
      <c r="E14" s="14"/>
      <c r="F14" s="3"/>
      <c r="G14" s="2"/>
    </row>
    <row r="15" spans="1:7" ht="23">
      <c r="A15" s="2"/>
      <c r="B15" s="21" t="s">
        <v>6</v>
      </c>
      <c r="C15" s="12"/>
      <c r="D15" s="2"/>
      <c r="E15" s="22">
        <f>SUM(E5:E13)</f>
        <v>11300</v>
      </c>
      <c r="F15" s="2"/>
      <c r="G15" s="2"/>
    </row>
    <row r="16" spans="1:7" ht="24.5">
      <c r="A16" s="2"/>
      <c r="B16" s="21" t="s">
        <v>114</v>
      </c>
      <c r="C16" s="12"/>
      <c r="D16" s="2"/>
      <c r="E16" s="23">
        <f>E15*7%</f>
        <v>791.00000000000011</v>
      </c>
      <c r="F16" s="2"/>
      <c r="G16" s="2"/>
    </row>
    <row r="17" spans="1:7" ht="24.5">
      <c r="A17" s="2"/>
      <c r="B17" s="20" t="s">
        <v>35</v>
      </c>
      <c r="C17" s="2"/>
      <c r="D17" s="2"/>
      <c r="E17" s="24">
        <f>SUM(E15:E16)</f>
        <v>12091</v>
      </c>
      <c r="F17" s="2"/>
      <c r="G17" s="2"/>
    </row>
    <row r="18" spans="1:7" ht="24.5">
      <c r="A18" s="2"/>
      <c r="B18" s="20"/>
      <c r="C18" s="2"/>
      <c r="D18" s="2"/>
      <c r="E18" s="24"/>
      <c r="F18" s="2"/>
      <c r="G18" s="2"/>
    </row>
    <row r="19" spans="1:7" ht="33">
      <c r="A19" s="2"/>
      <c r="B19" s="26" t="s">
        <v>36</v>
      </c>
      <c r="C19" s="202" t="str">
        <f>BAHTTEXT(E17)</f>
        <v>หนึ่งหมื่นสองพันเก้าสิบเอ็ดบาทถ้วน</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5113-9B12-49B7-B9CA-46854F3BA7D0}">
  <dimension ref="A2:G19"/>
  <sheetViews>
    <sheetView zoomScale="115" zoomScaleNormal="115" workbookViewId="0">
      <selection activeCell="F20" sqref="F20"/>
    </sheetView>
  </sheetViews>
  <sheetFormatPr defaultColWidth="9.08203125" defaultRowHeight="20.5"/>
  <cols>
    <col min="1" max="1" width="9.08203125" style="1"/>
    <col min="2" max="2" width="42.75" style="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299</v>
      </c>
      <c r="C5" s="12">
        <v>10</v>
      </c>
      <c r="D5" s="13">
        <v>2700</v>
      </c>
      <c r="E5" s="14">
        <f>+C5*D5</f>
        <v>27000</v>
      </c>
      <c r="F5" s="10">
        <v>30</v>
      </c>
      <c r="G5" s="29" t="s">
        <v>51</v>
      </c>
    </row>
    <row r="6" spans="1:7">
      <c r="A6" s="10"/>
      <c r="B6" s="30"/>
      <c r="C6" s="12"/>
      <c r="D6" s="13"/>
      <c r="E6" s="14"/>
      <c r="F6" s="10"/>
      <c r="G6" s="15" t="s">
        <v>29</v>
      </c>
    </row>
    <row r="7" spans="1:7">
      <c r="A7" s="10"/>
      <c r="B7" s="15"/>
      <c r="C7" s="12"/>
      <c r="D7" s="38"/>
      <c r="E7" s="14"/>
      <c r="F7" s="10"/>
      <c r="G7" s="15" t="s">
        <v>28</v>
      </c>
    </row>
    <row r="8" spans="1:7">
      <c r="A8" s="2"/>
      <c r="B8" s="15"/>
      <c r="C8" s="12"/>
      <c r="D8" s="38"/>
      <c r="E8" s="14"/>
      <c r="F8" s="10"/>
      <c r="G8" s="15" t="s">
        <v>285</v>
      </c>
    </row>
    <row r="9" spans="1:7">
      <c r="A9" s="79"/>
      <c r="B9" s="39"/>
      <c r="C9" s="12"/>
      <c r="D9" s="38"/>
      <c r="E9" s="14"/>
      <c r="F9" s="10"/>
      <c r="G9" s="29" t="s">
        <v>50</v>
      </c>
    </row>
    <row r="10" spans="1:7">
      <c r="A10" s="10"/>
      <c r="B10" s="30"/>
      <c r="C10" s="12"/>
      <c r="D10" s="13"/>
      <c r="E10" s="14"/>
      <c r="F10" s="10"/>
      <c r="G10" s="40" t="s">
        <v>31</v>
      </c>
    </row>
    <row r="11" spans="1:7">
      <c r="A11" s="10"/>
      <c r="B11" s="30"/>
      <c r="C11" s="12"/>
      <c r="D11" s="13"/>
      <c r="E11" s="14"/>
      <c r="F11" s="10"/>
      <c r="G11" s="15" t="s">
        <v>32</v>
      </c>
    </row>
    <row r="12" spans="1:7">
      <c r="A12" s="10"/>
      <c r="B12" s="30"/>
      <c r="C12" s="12"/>
      <c r="D12" s="13"/>
      <c r="E12" s="14"/>
      <c r="F12" s="10"/>
      <c r="G12" s="15" t="s">
        <v>33</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27000</v>
      </c>
      <c r="F15" s="2"/>
      <c r="G15" s="2"/>
    </row>
    <row r="16" spans="1:7" ht="24.5">
      <c r="A16" s="2"/>
      <c r="B16" s="21" t="s">
        <v>114</v>
      </c>
      <c r="C16" s="12"/>
      <c r="D16" s="2"/>
      <c r="E16" s="23">
        <f>E15*7%</f>
        <v>1890.0000000000002</v>
      </c>
      <c r="F16" s="2"/>
      <c r="G16" s="2"/>
    </row>
    <row r="17" spans="1:7" ht="24.5">
      <c r="A17" s="2"/>
      <c r="B17" s="20" t="s">
        <v>35</v>
      </c>
      <c r="C17" s="2"/>
      <c r="D17" s="2"/>
      <c r="E17" s="24">
        <f>SUM(E15:E16)</f>
        <v>28890</v>
      </c>
      <c r="F17" s="2"/>
      <c r="G17" s="2"/>
    </row>
    <row r="18" spans="1:7" ht="24.5">
      <c r="A18" s="2"/>
      <c r="B18" s="20"/>
      <c r="C18" s="2"/>
      <c r="D18" s="2"/>
      <c r="E18" s="24"/>
      <c r="F18" s="2"/>
      <c r="G18" s="2"/>
    </row>
    <row r="19" spans="1:7" ht="33">
      <c r="A19" s="2"/>
      <c r="B19" s="26" t="s">
        <v>36</v>
      </c>
      <c r="C19" s="202" t="str">
        <f>BAHTTEXT(E17)</f>
        <v>สองหมื่นแปดพันแปดร้อยเก้าสิบบาทถ้วน</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1995-2EBD-4B63-804A-EEE69A60B68A}">
  <dimension ref="A2:G19"/>
  <sheetViews>
    <sheetView zoomScale="115" zoomScaleNormal="115" workbookViewId="0">
      <selection activeCell="B23" sqref="B23"/>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239</v>
      </c>
      <c r="C5" s="12">
        <v>4</v>
      </c>
      <c r="D5" s="13">
        <v>3700</v>
      </c>
      <c r="E5" s="14">
        <f>+C5*D5</f>
        <v>14800</v>
      </c>
      <c r="F5" s="10">
        <v>30</v>
      </c>
      <c r="G5" s="29" t="s">
        <v>51</v>
      </c>
    </row>
    <row r="6" spans="1:7">
      <c r="A6" s="10">
        <v>2</v>
      </c>
      <c r="B6" s="30" t="s">
        <v>280</v>
      </c>
      <c r="C6" s="12">
        <v>4</v>
      </c>
      <c r="D6" s="13">
        <v>300</v>
      </c>
      <c r="E6" s="14">
        <f t="shared" ref="E6:E9" si="0">+C6*D6</f>
        <v>1200</v>
      </c>
      <c r="F6" s="10">
        <v>30</v>
      </c>
      <c r="G6" s="15" t="s">
        <v>29</v>
      </c>
    </row>
    <row r="7" spans="1:7">
      <c r="A7" s="10">
        <v>3</v>
      </c>
      <c r="B7" s="15" t="s">
        <v>281</v>
      </c>
      <c r="C7" s="12">
        <v>4</v>
      </c>
      <c r="D7" s="38">
        <v>400</v>
      </c>
      <c r="E7" s="14">
        <f t="shared" si="0"/>
        <v>1600</v>
      </c>
      <c r="F7" s="10">
        <v>30</v>
      </c>
      <c r="G7" s="15" t="s">
        <v>28</v>
      </c>
    </row>
    <row r="8" spans="1:7">
      <c r="A8" s="2">
        <v>4</v>
      </c>
      <c r="B8" s="15" t="s">
        <v>282</v>
      </c>
      <c r="C8" s="12">
        <v>4</v>
      </c>
      <c r="D8" s="38">
        <v>900</v>
      </c>
      <c r="E8" s="14">
        <f t="shared" si="0"/>
        <v>3600</v>
      </c>
      <c r="F8" s="10">
        <v>30</v>
      </c>
      <c r="G8" s="15" t="s">
        <v>285</v>
      </c>
    </row>
    <row r="9" spans="1:7">
      <c r="A9" s="79">
        <v>5</v>
      </c>
      <c r="B9" s="39" t="s">
        <v>283</v>
      </c>
      <c r="C9" s="12">
        <v>4</v>
      </c>
      <c r="D9" s="38">
        <v>300</v>
      </c>
      <c r="E9" s="14">
        <f t="shared" si="0"/>
        <v>1200</v>
      </c>
      <c r="F9" s="10">
        <v>30</v>
      </c>
      <c r="G9" s="29" t="s">
        <v>50</v>
      </c>
    </row>
    <row r="10" spans="1:7">
      <c r="A10" s="10"/>
      <c r="B10" s="30"/>
      <c r="C10" s="12"/>
      <c r="D10" s="13"/>
      <c r="E10" s="14"/>
      <c r="F10" s="10"/>
      <c r="G10" s="40" t="s">
        <v>31</v>
      </c>
    </row>
    <row r="11" spans="1:7">
      <c r="A11" s="10"/>
      <c r="B11" s="30"/>
      <c r="C11" s="12"/>
      <c r="D11" s="13"/>
      <c r="E11" s="14"/>
      <c r="F11" s="10"/>
      <c r="G11" s="15" t="s">
        <v>32</v>
      </c>
    </row>
    <row r="12" spans="1:7">
      <c r="A12" s="10"/>
      <c r="B12" s="30"/>
      <c r="C12" s="12"/>
      <c r="D12" s="13"/>
      <c r="E12" s="14"/>
      <c r="F12" s="10"/>
      <c r="G12" s="15" t="s">
        <v>33</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22400</v>
      </c>
      <c r="F15" s="2"/>
      <c r="G15" s="2"/>
    </row>
    <row r="16" spans="1:7" ht="24.5">
      <c r="A16" s="2"/>
      <c r="B16" s="21" t="s">
        <v>114</v>
      </c>
      <c r="C16" s="12"/>
      <c r="D16" s="2"/>
      <c r="E16" s="23">
        <f>E15*7%</f>
        <v>1568.0000000000002</v>
      </c>
      <c r="F16" s="2"/>
      <c r="G16" s="2"/>
    </row>
    <row r="17" spans="1:7" ht="24.5">
      <c r="A17" s="2"/>
      <c r="B17" s="20" t="s">
        <v>35</v>
      </c>
      <c r="C17" s="2"/>
      <c r="D17" s="2"/>
      <c r="E17" s="24">
        <f>SUM(E15:E16)</f>
        <v>23968</v>
      </c>
      <c r="F17" s="2"/>
      <c r="G17" s="2"/>
    </row>
    <row r="18" spans="1:7" ht="24.5">
      <c r="A18" s="2"/>
      <c r="B18" s="20"/>
      <c r="C18" s="2"/>
      <c r="D18" s="2"/>
      <c r="E18" s="24"/>
      <c r="F18" s="2"/>
      <c r="G18" s="2"/>
    </row>
    <row r="19" spans="1:7" ht="33">
      <c r="A19" s="2"/>
      <c r="B19" s="26" t="s">
        <v>36</v>
      </c>
      <c r="C19" s="202" t="str">
        <f>BAHTTEXT(E17)</f>
        <v>สองหมื่นสามพันเก้าร้อยหกสิบแปดบาทถ้วน</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D65F-9A4F-45A5-BBD7-D0E6EBBCFDBE}">
  <sheetPr>
    <pageSetUpPr fitToPage="1"/>
  </sheetPr>
  <dimension ref="A2:G27"/>
  <sheetViews>
    <sheetView topLeftCell="A3" zoomScale="85" zoomScaleNormal="85" workbookViewId="0">
      <selection activeCell="A2" sqref="A2:G27"/>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2" t="s">
        <v>284</v>
      </c>
      <c r="C5" s="54">
        <v>2</v>
      </c>
      <c r="D5" s="55">
        <v>1800</v>
      </c>
      <c r="E5" s="56">
        <f>D5*C5</f>
        <v>3600</v>
      </c>
      <c r="F5" s="52">
        <v>30</v>
      </c>
      <c r="G5" s="57" t="s">
        <v>161</v>
      </c>
    </row>
    <row r="6" spans="1:7">
      <c r="A6" s="52"/>
      <c r="B6" s="72" t="s">
        <v>450</v>
      </c>
      <c r="C6" s="54"/>
      <c r="D6" s="55"/>
      <c r="E6" s="58"/>
      <c r="F6" s="52"/>
      <c r="G6" s="27" t="s">
        <v>29</v>
      </c>
    </row>
    <row r="7" spans="1:7">
      <c r="A7" s="52"/>
      <c r="B7" s="72" t="s">
        <v>451</v>
      </c>
      <c r="C7" s="54"/>
      <c r="D7" s="55"/>
      <c r="E7" s="58"/>
      <c r="F7" s="52"/>
      <c r="G7" s="27" t="s">
        <v>28</v>
      </c>
    </row>
    <row r="8" spans="1:7">
      <c r="A8" s="52"/>
      <c r="B8" s="72" t="s">
        <v>452</v>
      </c>
      <c r="C8" s="54"/>
      <c r="D8" s="55"/>
      <c r="E8" s="58"/>
      <c r="F8" s="52"/>
      <c r="G8" s="27" t="s">
        <v>285</v>
      </c>
    </row>
    <row r="9" spans="1:7">
      <c r="A9" s="52"/>
      <c r="B9" s="72"/>
      <c r="C9" s="54"/>
      <c r="D9" s="55"/>
      <c r="E9" s="56"/>
      <c r="F9" s="52"/>
      <c r="G9" s="100"/>
    </row>
    <row r="10" spans="1:7">
      <c r="A10" s="52"/>
      <c r="B10" s="72"/>
      <c r="C10" s="54"/>
      <c r="D10" s="55"/>
      <c r="E10" s="58"/>
      <c r="F10" s="52"/>
      <c r="G10" s="60" t="s">
        <v>162</v>
      </c>
    </row>
    <row r="11" spans="1:7">
      <c r="A11" s="52"/>
      <c r="B11" s="72"/>
      <c r="C11" s="54"/>
      <c r="D11" s="55"/>
      <c r="E11" s="58"/>
      <c r="F11" s="52"/>
      <c r="G11" s="61" t="s">
        <v>31</v>
      </c>
    </row>
    <row r="12" spans="1:7">
      <c r="A12" s="52"/>
      <c r="B12" s="53"/>
      <c r="C12" s="54"/>
      <c r="D12" s="55"/>
      <c r="E12" s="58"/>
      <c r="F12" s="52"/>
      <c r="G12" s="27" t="s">
        <v>33</v>
      </c>
    </row>
    <row r="13" spans="1:7">
      <c r="A13" s="52"/>
      <c r="B13" s="53"/>
      <c r="C13" s="54"/>
      <c r="D13" s="55"/>
      <c r="E13" s="58"/>
      <c r="F13" s="52"/>
      <c r="G13" s="27" t="s">
        <v>279</v>
      </c>
    </row>
    <row r="14" spans="1:7">
      <c r="A14" s="52"/>
      <c r="B14" s="53"/>
      <c r="C14" s="54"/>
      <c r="D14" s="55"/>
      <c r="E14" s="58"/>
      <c r="F14" s="52"/>
      <c r="G14" s="59"/>
    </row>
    <row r="15" spans="1:7" ht="41" hidden="1">
      <c r="A15" s="52"/>
      <c r="B15" s="53"/>
      <c r="C15" s="54"/>
      <c r="D15" s="55"/>
      <c r="E15" s="58"/>
      <c r="F15" s="52"/>
      <c r="G15" s="69" t="s">
        <v>164</v>
      </c>
    </row>
    <row r="16" spans="1:7" hidden="1">
      <c r="A16" s="52"/>
      <c r="B16" s="53"/>
      <c r="C16" s="54"/>
      <c r="D16" s="55"/>
      <c r="E16" s="58"/>
      <c r="F16" s="52"/>
      <c r="G16" s="59" t="s">
        <v>173</v>
      </c>
    </row>
    <row r="17" spans="1:7" hidden="1">
      <c r="A17" s="52"/>
      <c r="B17" s="53"/>
      <c r="C17" s="54"/>
      <c r="D17" s="55"/>
      <c r="E17" s="58"/>
      <c r="F17" s="52"/>
      <c r="G17" s="27" t="s">
        <v>173</v>
      </c>
    </row>
    <row r="18" spans="1:7" hidden="1">
      <c r="A18" s="52"/>
      <c r="B18" s="53"/>
      <c r="C18" s="54"/>
      <c r="D18" s="55"/>
      <c r="E18" s="58"/>
      <c r="F18" s="52"/>
      <c r="G18" s="27" t="s">
        <v>173</v>
      </c>
    </row>
    <row r="19" spans="1:7" hidden="1">
      <c r="A19" s="52"/>
      <c r="B19" s="53"/>
      <c r="C19" s="54"/>
      <c r="D19" s="55"/>
      <c r="E19" s="58"/>
      <c r="F19" s="52"/>
      <c r="G19" s="28" t="s">
        <v>165</v>
      </c>
    </row>
    <row r="20" spans="1:7" hidden="1">
      <c r="A20" s="52"/>
      <c r="B20" s="53"/>
      <c r="C20" s="54"/>
      <c r="D20" s="55"/>
      <c r="E20" s="58"/>
      <c r="F20" s="52"/>
      <c r="G20" s="70" t="s">
        <v>166</v>
      </c>
    </row>
    <row r="21" spans="1:7" hidden="1">
      <c r="A21" s="52"/>
      <c r="B21" s="53"/>
      <c r="C21" s="54"/>
      <c r="D21" s="55"/>
      <c r="E21" s="58"/>
      <c r="F21" s="52"/>
      <c r="G21" s="70" t="s">
        <v>167</v>
      </c>
    </row>
    <row r="22" spans="1:7" hidden="1">
      <c r="A22" s="52"/>
      <c r="B22" s="53"/>
      <c r="C22" s="54"/>
      <c r="D22" s="55"/>
      <c r="E22" s="58"/>
      <c r="F22" s="52"/>
      <c r="G22" s="70" t="s">
        <v>168</v>
      </c>
    </row>
    <row r="23" spans="1:7" ht="23">
      <c r="A23" s="62"/>
      <c r="B23" s="63" t="s">
        <v>6</v>
      </c>
      <c r="C23" s="54"/>
      <c r="D23" s="62"/>
      <c r="E23" s="64">
        <f>SUM(E5:E22)</f>
        <v>3600</v>
      </c>
      <c r="F23" s="62"/>
      <c r="G23" s="2"/>
    </row>
    <row r="24" spans="1:7" ht="24.5">
      <c r="A24" s="62"/>
      <c r="B24" s="63" t="s">
        <v>34</v>
      </c>
      <c r="C24" s="54"/>
      <c r="D24" s="62"/>
      <c r="E24" s="65">
        <f>E23*0%</f>
        <v>0</v>
      </c>
      <c r="F24" s="62"/>
      <c r="G24" s="2"/>
    </row>
    <row r="25" spans="1:7" ht="24.5">
      <c r="A25" s="62"/>
      <c r="B25" s="66" t="s">
        <v>35</v>
      </c>
      <c r="C25" s="62"/>
      <c r="D25" s="62"/>
      <c r="E25" s="67">
        <f>SUM(E23:E24)</f>
        <v>3600</v>
      </c>
      <c r="F25" s="62"/>
      <c r="G25" s="62"/>
    </row>
    <row r="26" spans="1:7" ht="24.5">
      <c r="A26" s="62"/>
      <c r="B26" s="66"/>
      <c r="C26" s="62"/>
      <c r="D26" s="62"/>
      <c r="E26" s="67"/>
      <c r="F26" s="62"/>
      <c r="G26" s="62"/>
    </row>
    <row r="27" spans="1:7" ht="33">
      <c r="A27" s="62"/>
      <c r="B27" s="68" t="s">
        <v>36</v>
      </c>
      <c r="C27" s="197" t="str">
        <f>BAHTTEXT(E25)</f>
        <v>สามพันหกร้อยบาทถ้วน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740B1-9FAD-4AD4-B5A7-8BE20568F1C9}">
  <dimension ref="A2:G19"/>
  <sheetViews>
    <sheetView zoomScaleNormal="100" workbookViewId="0">
      <selection activeCell="F15" sqref="F15"/>
    </sheetView>
  </sheetViews>
  <sheetFormatPr defaultColWidth="9.08203125" defaultRowHeight="20.5"/>
  <cols>
    <col min="1" max="1" width="9.08203125" style="1"/>
    <col min="2" max="2" width="42.7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271</v>
      </c>
      <c r="C5" s="12">
        <v>50</v>
      </c>
      <c r="D5" s="13">
        <v>95</v>
      </c>
      <c r="E5" s="14">
        <f>+C5*D5</f>
        <v>4750</v>
      </c>
      <c r="F5" s="10">
        <v>30</v>
      </c>
      <c r="G5" s="29" t="s">
        <v>51</v>
      </c>
    </row>
    <row r="6" spans="1:7">
      <c r="A6" s="10">
        <v>2</v>
      </c>
      <c r="B6" s="30" t="s">
        <v>272</v>
      </c>
      <c r="C6" s="12">
        <v>400</v>
      </c>
      <c r="D6" s="13">
        <v>1</v>
      </c>
      <c r="E6" s="14">
        <f t="shared" ref="E6:E9" si="0">+C6*D6</f>
        <v>400</v>
      </c>
      <c r="F6" s="10"/>
      <c r="G6" s="15" t="s">
        <v>29</v>
      </c>
    </row>
    <row r="7" spans="1:7">
      <c r="A7" s="10">
        <v>3</v>
      </c>
      <c r="B7" s="31" t="s">
        <v>273</v>
      </c>
      <c r="C7" s="12">
        <v>400</v>
      </c>
      <c r="D7" s="38">
        <v>1</v>
      </c>
      <c r="E7" s="14">
        <f t="shared" si="0"/>
        <v>400</v>
      </c>
      <c r="F7" s="10"/>
      <c r="G7" s="15" t="s">
        <v>28</v>
      </c>
    </row>
    <row r="8" spans="1:7">
      <c r="A8" s="2">
        <v>4</v>
      </c>
      <c r="B8" s="31" t="s">
        <v>274</v>
      </c>
      <c r="C8" s="12">
        <v>500</v>
      </c>
      <c r="D8" s="38">
        <v>2</v>
      </c>
      <c r="E8" s="14">
        <f t="shared" si="0"/>
        <v>1000</v>
      </c>
      <c r="F8" s="10"/>
      <c r="G8" s="15" t="s">
        <v>285</v>
      </c>
    </row>
    <row r="9" spans="1:7">
      <c r="A9" s="79">
        <v>5</v>
      </c>
      <c r="B9" s="39" t="s">
        <v>275</v>
      </c>
      <c r="C9" s="12">
        <v>100</v>
      </c>
      <c r="D9" s="38">
        <v>5</v>
      </c>
      <c r="E9" s="14">
        <f t="shared" si="0"/>
        <v>500</v>
      </c>
      <c r="F9" s="10"/>
      <c r="G9" s="29" t="s">
        <v>50</v>
      </c>
    </row>
    <row r="10" spans="1:7">
      <c r="A10" s="10"/>
      <c r="B10" s="30"/>
      <c r="C10" s="12"/>
      <c r="D10" s="13"/>
      <c r="E10" s="14"/>
      <c r="F10" s="10"/>
      <c r="G10" s="40" t="s">
        <v>31</v>
      </c>
    </row>
    <row r="11" spans="1:7">
      <c r="A11" s="10"/>
      <c r="B11" s="30"/>
      <c r="C11" s="12"/>
      <c r="D11" s="13"/>
      <c r="E11" s="14"/>
      <c r="F11" s="10"/>
      <c r="G11" s="15" t="s">
        <v>33</v>
      </c>
    </row>
    <row r="12" spans="1:7">
      <c r="A12" s="10"/>
      <c r="B12" s="30"/>
      <c r="C12" s="12"/>
      <c r="D12" s="13"/>
      <c r="E12" s="14"/>
      <c r="F12" s="10"/>
      <c r="G12" s="15" t="s">
        <v>238</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7050</v>
      </c>
      <c r="F15" s="2"/>
      <c r="G15" s="2"/>
    </row>
    <row r="16" spans="1:7" ht="24.5">
      <c r="A16" s="2"/>
      <c r="B16" s="21" t="s">
        <v>114</v>
      </c>
      <c r="C16" s="12"/>
      <c r="D16" s="2"/>
      <c r="E16" s="23">
        <f>E15*7%</f>
        <v>493.50000000000006</v>
      </c>
      <c r="F16" s="2"/>
      <c r="G16" s="2"/>
    </row>
    <row r="17" spans="1:7" ht="24.5">
      <c r="A17" s="2"/>
      <c r="B17" s="20" t="s">
        <v>35</v>
      </c>
      <c r="C17" s="2"/>
      <c r="D17" s="2"/>
      <c r="E17" s="24">
        <f>SUM(E15:E16)</f>
        <v>7543.5</v>
      </c>
      <c r="F17" s="2"/>
      <c r="G17" s="2"/>
    </row>
    <row r="18" spans="1:7" ht="24.5">
      <c r="A18" s="2"/>
      <c r="B18" s="20"/>
      <c r="C18" s="2"/>
      <c r="D18" s="2"/>
      <c r="E18" s="24"/>
      <c r="F18" s="2"/>
      <c r="G18" s="2"/>
    </row>
    <row r="19" spans="1:7" ht="33">
      <c r="A19" s="2"/>
      <c r="B19" s="26" t="s">
        <v>36</v>
      </c>
      <c r="C19" s="202" t="str">
        <f>BAHTTEXT(E17)</f>
        <v>เจ็ดพันห้าร้อยสี่สิบสามบาทห้าสิบสตางค์</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CF0D-7CB2-4B8A-A50F-682FDA380435}">
  <sheetPr>
    <pageSetUpPr fitToPage="1"/>
  </sheetPr>
  <dimension ref="A2:G27"/>
  <sheetViews>
    <sheetView topLeftCell="A8" zoomScale="115" zoomScaleNormal="115" workbookViewId="0">
      <selection activeCell="A2" sqref="A2:G27"/>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2" t="s">
        <v>268</v>
      </c>
      <c r="C5" s="54">
        <v>1</v>
      </c>
      <c r="D5" s="55">
        <v>6500</v>
      </c>
      <c r="E5" s="56">
        <f>D5*C5</f>
        <v>6500</v>
      </c>
      <c r="F5" s="52">
        <v>30</v>
      </c>
      <c r="G5" s="57" t="s">
        <v>161</v>
      </c>
    </row>
    <row r="6" spans="1:7">
      <c r="A6" s="52"/>
      <c r="B6" s="72" t="s">
        <v>266</v>
      </c>
      <c r="C6" s="54"/>
      <c r="D6" s="55"/>
      <c r="E6" s="58"/>
      <c r="F6" s="52"/>
      <c r="G6" s="27" t="s">
        <v>265</v>
      </c>
    </row>
    <row r="7" spans="1:7" ht="41">
      <c r="A7" s="52"/>
      <c r="B7" s="72" t="s">
        <v>267</v>
      </c>
      <c r="C7" s="54"/>
      <c r="D7" s="55"/>
      <c r="E7" s="58"/>
      <c r="F7" s="52"/>
      <c r="G7" s="27" t="s">
        <v>238</v>
      </c>
    </row>
    <row r="8" spans="1:7">
      <c r="A8" s="52"/>
      <c r="B8" s="53"/>
      <c r="C8" s="54"/>
      <c r="D8" s="55"/>
      <c r="E8" s="58"/>
      <c r="F8" s="52"/>
      <c r="G8" s="27" t="s">
        <v>29</v>
      </c>
    </row>
    <row r="9" spans="1:7">
      <c r="A9" s="52">
        <v>2</v>
      </c>
      <c r="B9" s="72" t="s">
        <v>268</v>
      </c>
      <c r="C9" s="54">
        <v>2</v>
      </c>
      <c r="D9" s="55">
        <v>7500</v>
      </c>
      <c r="E9" s="56">
        <f>D9*C9</f>
        <v>15000</v>
      </c>
      <c r="F9" s="52">
        <v>30</v>
      </c>
      <c r="G9" s="59"/>
    </row>
    <row r="10" spans="1:7">
      <c r="A10" s="52"/>
      <c r="B10" s="72" t="s">
        <v>269</v>
      </c>
      <c r="C10" s="54"/>
      <c r="D10" s="55"/>
      <c r="E10" s="58"/>
      <c r="F10" s="52"/>
      <c r="G10" s="60" t="s">
        <v>162</v>
      </c>
    </row>
    <row r="11" spans="1:7" ht="41">
      <c r="A11" s="52"/>
      <c r="B11" s="72" t="s">
        <v>270</v>
      </c>
      <c r="C11" s="54"/>
      <c r="D11" s="55"/>
      <c r="E11" s="58"/>
      <c r="F11" s="52"/>
      <c r="G11" s="61" t="s">
        <v>31</v>
      </c>
    </row>
    <row r="12" spans="1:7">
      <c r="A12" s="52"/>
      <c r="B12" s="53"/>
      <c r="C12" s="54"/>
      <c r="D12" s="55"/>
      <c r="E12" s="58"/>
      <c r="F12" s="52"/>
      <c r="G12" s="27" t="s">
        <v>28</v>
      </c>
    </row>
    <row r="13" spans="1:7">
      <c r="A13" s="52"/>
      <c r="B13" s="53"/>
      <c r="C13" s="54"/>
      <c r="D13" s="55"/>
      <c r="E13" s="58"/>
      <c r="F13" s="52"/>
      <c r="G13" s="27" t="s">
        <v>30</v>
      </c>
    </row>
    <row r="14" spans="1:7">
      <c r="A14" s="52"/>
      <c r="B14" s="53"/>
      <c r="C14" s="54"/>
      <c r="D14" s="55"/>
      <c r="E14" s="58"/>
      <c r="F14" s="52"/>
      <c r="G14" s="59"/>
    </row>
    <row r="15" spans="1:7" ht="41">
      <c r="A15" s="52"/>
      <c r="B15" s="53"/>
      <c r="C15" s="54"/>
      <c r="D15" s="55"/>
      <c r="E15" s="58"/>
      <c r="F15" s="52"/>
      <c r="G15" s="69" t="s">
        <v>164</v>
      </c>
    </row>
    <row r="16" spans="1:7">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21500</v>
      </c>
      <c r="F23" s="62"/>
      <c r="G23" s="2"/>
    </row>
    <row r="24" spans="1:7" ht="24.5">
      <c r="A24" s="62"/>
      <c r="B24" s="63" t="s">
        <v>34</v>
      </c>
      <c r="C24" s="54"/>
      <c r="D24" s="62"/>
      <c r="E24" s="65">
        <f>E23*0%</f>
        <v>0</v>
      </c>
      <c r="F24" s="62"/>
      <c r="G24" s="2"/>
    </row>
    <row r="25" spans="1:7" ht="24.5">
      <c r="A25" s="62"/>
      <c r="B25" s="66" t="s">
        <v>35</v>
      </c>
      <c r="C25" s="62"/>
      <c r="D25" s="62"/>
      <c r="E25" s="67">
        <f>SUM(E23:E24)</f>
        <v>21500</v>
      </c>
      <c r="F25" s="62"/>
      <c r="G25" s="62"/>
    </row>
    <row r="26" spans="1:7" ht="24.5">
      <c r="A26" s="62"/>
      <c r="B26" s="66"/>
      <c r="C26" s="62"/>
      <c r="D26" s="62"/>
      <c r="E26" s="67"/>
      <c r="F26" s="62"/>
      <c r="G26" s="62"/>
    </row>
    <row r="27" spans="1:7" ht="33">
      <c r="A27" s="62"/>
      <c r="B27" s="68" t="s">
        <v>36</v>
      </c>
      <c r="C27" s="197" t="str">
        <f>BAHTTEXT(E25)</f>
        <v>สองหมื่นหนึ่งพันห้าร้อยบาทถ้วน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D50DD-C7A0-4812-823B-720ADBD88FCC}">
  <dimension ref="A2:G21"/>
  <sheetViews>
    <sheetView zoomScale="115" zoomScaleNormal="115" workbookViewId="0">
      <selection activeCell="A2" sqref="A2:G21"/>
    </sheetView>
  </sheetViews>
  <sheetFormatPr defaultColWidth="9.08203125" defaultRowHeight="20.5"/>
  <cols>
    <col min="1" max="1" width="6.08203125" style="1" bestFit="1" customWidth="1"/>
    <col min="2" max="2" width="55" style="1" customWidth="1"/>
    <col min="3" max="3" width="6.08203125" style="1" bestFit="1" customWidth="1"/>
    <col min="4" max="4" width="9.75" style="1" bestFit="1" customWidth="1"/>
    <col min="5" max="5" width="13" style="1" bestFit="1" customWidth="1"/>
    <col min="6" max="6" width="12.75" style="1" bestFit="1" customWidth="1"/>
    <col min="7" max="7" width="24.5" style="1" bestFit="1" customWidth="1"/>
    <col min="8" max="16384" width="9.08203125" style="1"/>
  </cols>
  <sheetData>
    <row r="2" spans="1:7" ht="21" customHeight="1">
      <c r="A2" s="183" t="s">
        <v>0</v>
      </c>
      <c r="B2" s="186" t="s">
        <v>1</v>
      </c>
      <c r="C2" s="183" t="s">
        <v>2</v>
      </c>
      <c r="D2" s="189" t="s">
        <v>3</v>
      </c>
      <c r="E2" s="190"/>
      <c r="F2" s="186" t="s">
        <v>257</v>
      </c>
      <c r="G2" s="4"/>
    </row>
    <row r="3" spans="1:7">
      <c r="A3" s="184"/>
      <c r="B3" s="187"/>
      <c r="C3" s="184"/>
      <c r="D3" s="5" t="s">
        <v>5</v>
      </c>
      <c r="E3" s="6" t="s">
        <v>6</v>
      </c>
      <c r="F3" s="187"/>
      <c r="G3" s="80" t="s">
        <v>163</v>
      </c>
    </row>
    <row r="4" spans="1:7">
      <c r="A4" s="185"/>
      <c r="B4" s="188"/>
      <c r="C4" s="185"/>
      <c r="D4" s="8" t="s">
        <v>4</v>
      </c>
      <c r="E4" s="8" t="s">
        <v>4</v>
      </c>
      <c r="F4" s="188"/>
      <c r="G4" s="9"/>
    </row>
    <row r="5" spans="1:7">
      <c r="A5" s="10">
        <v>1</v>
      </c>
      <c r="B5" s="96" t="s">
        <v>264</v>
      </c>
      <c r="C5" s="12">
        <v>30</v>
      </c>
      <c r="D5" s="13">
        <v>3500</v>
      </c>
      <c r="E5" s="14">
        <f t="shared" ref="E5" si="0">+C5*D5</f>
        <v>105000</v>
      </c>
      <c r="F5" s="10">
        <v>45</v>
      </c>
      <c r="G5" s="86" t="s">
        <v>51</v>
      </c>
    </row>
    <row r="6" spans="1:7">
      <c r="A6" s="10"/>
      <c r="B6" s="99" t="s">
        <v>278</v>
      </c>
      <c r="C6" s="12"/>
      <c r="D6" s="13"/>
      <c r="E6" s="14"/>
      <c r="F6" s="10"/>
      <c r="G6" s="89" t="s">
        <v>28</v>
      </c>
    </row>
    <row r="7" spans="1:7">
      <c r="A7" s="10"/>
      <c r="B7" s="90" t="s">
        <v>261</v>
      </c>
      <c r="C7" s="12"/>
      <c r="D7" s="13"/>
      <c r="E7" s="14"/>
      <c r="F7" s="10"/>
      <c r="G7" s="87" t="s">
        <v>259</v>
      </c>
    </row>
    <row r="8" spans="1:7">
      <c r="A8" s="2"/>
      <c r="B8" s="85" t="s">
        <v>262</v>
      </c>
      <c r="C8" s="12"/>
      <c r="D8" s="13"/>
      <c r="E8" s="14"/>
      <c r="F8" s="10"/>
      <c r="G8" s="88" t="s">
        <v>29</v>
      </c>
    </row>
    <row r="9" spans="1:7">
      <c r="A9" s="79"/>
      <c r="B9" s="85" t="s">
        <v>250</v>
      </c>
      <c r="C9" s="12"/>
      <c r="D9" s="13"/>
      <c r="E9" s="14"/>
      <c r="F9" s="10"/>
      <c r="G9" s="86" t="s">
        <v>50</v>
      </c>
    </row>
    <row r="10" spans="1:7">
      <c r="A10" s="10"/>
      <c r="B10" s="85" t="s">
        <v>251</v>
      </c>
      <c r="C10" s="12"/>
      <c r="D10" s="13"/>
      <c r="E10" s="14"/>
      <c r="F10" s="10"/>
      <c r="G10" s="88" t="s">
        <v>31</v>
      </c>
    </row>
    <row r="11" spans="1:7">
      <c r="A11" s="10"/>
      <c r="B11" s="81"/>
      <c r="C11" s="12"/>
      <c r="D11" s="13"/>
      <c r="E11" s="14"/>
      <c r="F11" s="10"/>
      <c r="G11" s="87" t="s">
        <v>33</v>
      </c>
    </row>
    <row r="12" spans="1:7">
      <c r="A12" s="10"/>
      <c r="B12" s="81"/>
      <c r="C12" s="12"/>
      <c r="D12" s="13"/>
      <c r="E12" s="14"/>
      <c r="F12" s="10"/>
      <c r="G12" s="89" t="s">
        <v>30</v>
      </c>
    </row>
    <row r="13" spans="1:7" ht="36">
      <c r="A13" s="10"/>
      <c r="B13" s="84"/>
      <c r="C13" s="12"/>
      <c r="D13" s="13"/>
      <c r="E13" s="14"/>
      <c r="F13" s="10"/>
      <c r="G13" s="86" t="s">
        <v>258</v>
      </c>
    </row>
    <row r="14" spans="1:7">
      <c r="A14" s="10"/>
      <c r="B14" s="85"/>
      <c r="C14" s="12"/>
      <c r="D14" s="13"/>
      <c r="E14" s="14"/>
      <c r="F14" s="10"/>
      <c r="G14" s="87" t="s">
        <v>28</v>
      </c>
    </row>
    <row r="15" spans="1:7">
      <c r="A15" s="10"/>
      <c r="B15" s="85"/>
      <c r="C15" s="12"/>
      <c r="D15" s="13"/>
      <c r="E15" s="14"/>
      <c r="F15" s="10"/>
      <c r="G15" s="87" t="s">
        <v>259</v>
      </c>
    </row>
    <row r="16" spans="1:7">
      <c r="A16" s="10"/>
      <c r="B16" s="2"/>
      <c r="C16" s="2"/>
      <c r="D16" s="2"/>
      <c r="E16" s="2"/>
      <c r="F16" s="10"/>
      <c r="G16" s="88" t="s">
        <v>29</v>
      </c>
    </row>
    <row r="17" spans="1:7" ht="23">
      <c r="A17" s="2"/>
      <c r="B17" s="21" t="s">
        <v>6</v>
      </c>
      <c r="C17" s="12"/>
      <c r="D17" s="2"/>
      <c r="E17" s="22">
        <f>SUM(E5:E15)</f>
        <v>105000</v>
      </c>
      <c r="F17" s="2"/>
      <c r="G17" s="2"/>
    </row>
    <row r="18" spans="1:7" ht="23.5" thickBot="1">
      <c r="A18" s="2"/>
      <c r="B18" s="21" t="s">
        <v>114</v>
      </c>
      <c r="C18" s="12"/>
      <c r="D18" s="2"/>
      <c r="E18" s="93">
        <f>E17*7%</f>
        <v>7350.0000000000009</v>
      </c>
      <c r="F18" s="2"/>
      <c r="G18" s="2"/>
    </row>
    <row r="19" spans="1:7" ht="23.5" thickBot="1">
      <c r="A19" s="2"/>
      <c r="B19" s="20" t="s">
        <v>35</v>
      </c>
      <c r="C19" s="2"/>
      <c r="D19" s="2"/>
      <c r="E19" s="95">
        <f>SUM(E17:E18)</f>
        <v>112350</v>
      </c>
      <c r="F19" s="2"/>
      <c r="G19" s="2"/>
    </row>
    <row r="20" spans="1:7" ht="25" thickTop="1">
      <c r="A20" s="2"/>
      <c r="B20" s="20"/>
      <c r="C20" s="2"/>
      <c r="D20" s="2"/>
      <c r="E20" s="94"/>
      <c r="F20" s="2"/>
      <c r="G20" s="2"/>
    </row>
    <row r="21" spans="1:7" ht="33">
      <c r="A21" s="2"/>
      <c r="B21" s="26" t="s">
        <v>36</v>
      </c>
      <c r="C21" s="202" t="str">
        <f>BAHTTEXT(E19)</f>
        <v>หนึ่งแสนหนึ่งหมื่นสองพันสามร้อยห้าสิบบาทถ้วน</v>
      </c>
      <c r="D21" s="203"/>
      <c r="E21" s="203"/>
      <c r="F21" s="203"/>
      <c r="G21" s="204"/>
    </row>
  </sheetData>
  <mergeCells count="6">
    <mergeCell ref="C21:G21"/>
    <mergeCell ref="A2:A4"/>
    <mergeCell ref="B2:B4"/>
    <mergeCell ref="C2:C4"/>
    <mergeCell ref="D2:E2"/>
    <mergeCell ref="F2:F4"/>
  </mergeCells>
  <pageMargins left="0.7" right="0.7" top="0.75" bottom="0.75" header="0.3" footer="0.3"/>
  <pageSetup paperSize="9" scale="63"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5466-B2C4-4145-B322-966810001031}">
  <dimension ref="A2:G25"/>
  <sheetViews>
    <sheetView zoomScale="115" zoomScaleNormal="115" workbookViewId="0">
      <selection activeCell="A2" sqref="A2:G25"/>
    </sheetView>
  </sheetViews>
  <sheetFormatPr defaultColWidth="9.08203125" defaultRowHeight="20.5"/>
  <cols>
    <col min="1" max="1" width="6.08203125" style="1" bestFit="1" customWidth="1"/>
    <col min="2" max="2" width="57.33203125" style="1" customWidth="1"/>
    <col min="3" max="3" width="6.08203125" style="1" bestFit="1" customWidth="1"/>
    <col min="4" max="4" width="9.75" style="1" bestFit="1" customWidth="1"/>
    <col min="5" max="5" width="13" style="1" bestFit="1" customWidth="1"/>
    <col min="6" max="6" width="12.75" style="1" bestFit="1" customWidth="1"/>
    <col min="7" max="7" width="24.5" style="1" bestFit="1" customWidth="1"/>
    <col min="8" max="16384" width="9.08203125" style="1"/>
  </cols>
  <sheetData>
    <row r="2" spans="1:7" ht="21" customHeight="1">
      <c r="A2" s="183" t="s">
        <v>0</v>
      </c>
      <c r="B2" s="186" t="s">
        <v>1</v>
      </c>
      <c r="C2" s="183" t="s">
        <v>2</v>
      </c>
      <c r="D2" s="189" t="s">
        <v>3</v>
      </c>
      <c r="E2" s="190"/>
      <c r="F2" s="186" t="s">
        <v>257</v>
      </c>
      <c r="G2" s="4"/>
    </row>
    <row r="3" spans="1:7">
      <c r="A3" s="184"/>
      <c r="B3" s="187"/>
      <c r="C3" s="184"/>
      <c r="D3" s="5" t="s">
        <v>5</v>
      </c>
      <c r="E3" s="6" t="s">
        <v>6</v>
      </c>
      <c r="F3" s="187"/>
      <c r="G3" s="80" t="s">
        <v>163</v>
      </c>
    </row>
    <row r="4" spans="1:7">
      <c r="A4" s="185"/>
      <c r="B4" s="188"/>
      <c r="C4" s="185"/>
      <c r="D4" s="8" t="s">
        <v>4</v>
      </c>
      <c r="E4" s="8" t="s">
        <v>4</v>
      </c>
      <c r="F4" s="188"/>
      <c r="G4" s="9"/>
    </row>
    <row r="5" spans="1:7">
      <c r="A5" s="10">
        <v>1</v>
      </c>
      <c r="B5" s="91" t="s">
        <v>263</v>
      </c>
      <c r="C5" s="12">
        <v>50</v>
      </c>
      <c r="D5" s="13">
        <v>7000</v>
      </c>
      <c r="E5" s="14">
        <f>+C5*D5</f>
        <v>350000</v>
      </c>
      <c r="F5" s="10">
        <v>45</v>
      </c>
      <c r="G5" s="86" t="s">
        <v>51</v>
      </c>
    </row>
    <row r="6" spans="1:7">
      <c r="A6" s="10"/>
      <c r="B6" s="98" t="s">
        <v>276</v>
      </c>
      <c r="C6" s="12"/>
      <c r="D6" s="13"/>
      <c r="E6" s="14"/>
      <c r="F6" s="10"/>
      <c r="G6" s="89" t="s">
        <v>28</v>
      </c>
    </row>
    <row r="7" spans="1:7">
      <c r="A7" s="10"/>
      <c r="B7" s="97" t="s">
        <v>277</v>
      </c>
      <c r="C7" s="12"/>
      <c r="D7" s="38"/>
      <c r="E7" s="14"/>
      <c r="F7" s="10"/>
      <c r="G7" s="87" t="s">
        <v>259</v>
      </c>
    </row>
    <row r="8" spans="1:7">
      <c r="A8" s="2"/>
      <c r="B8" s="82" t="s">
        <v>249</v>
      </c>
      <c r="C8" s="12"/>
      <c r="D8" s="38"/>
      <c r="E8" s="14"/>
      <c r="F8" s="10"/>
      <c r="G8" s="88" t="s">
        <v>29</v>
      </c>
    </row>
    <row r="9" spans="1:7">
      <c r="A9" s="79"/>
      <c r="B9" s="82" t="s">
        <v>250</v>
      </c>
      <c r="C9" s="12"/>
      <c r="D9" s="38"/>
      <c r="E9" s="14"/>
      <c r="F9" s="10"/>
      <c r="G9" s="86" t="s">
        <v>50</v>
      </c>
    </row>
    <row r="10" spans="1:7">
      <c r="A10" s="10"/>
      <c r="B10" s="83" t="s">
        <v>251</v>
      </c>
      <c r="C10" s="12"/>
      <c r="D10" s="13"/>
      <c r="E10" s="14"/>
      <c r="F10" s="10"/>
      <c r="G10" s="88" t="s">
        <v>31</v>
      </c>
    </row>
    <row r="11" spans="1:7">
      <c r="A11" s="10"/>
      <c r="B11" s="81" t="s">
        <v>252</v>
      </c>
      <c r="C11" s="12"/>
      <c r="D11" s="13"/>
      <c r="E11" s="14"/>
      <c r="F11" s="10"/>
      <c r="G11" s="87" t="s">
        <v>33</v>
      </c>
    </row>
    <row r="12" spans="1:7">
      <c r="A12" s="10"/>
      <c r="B12" s="81" t="s">
        <v>253</v>
      </c>
      <c r="C12" s="12"/>
      <c r="D12" s="13"/>
      <c r="E12" s="14"/>
      <c r="F12" s="10"/>
      <c r="G12" s="89" t="s">
        <v>30</v>
      </c>
    </row>
    <row r="13" spans="1:7" ht="36">
      <c r="A13" s="10"/>
      <c r="B13" s="81" t="s">
        <v>254</v>
      </c>
      <c r="C13" s="12"/>
      <c r="D13" s="13"/>
      <c r="E13" s="14"/>
      <c r="F13" s="10"/>
      <c r="G13" s="86" t="s">
        <v>258</v>
      </c>
    </row>
    <row r="14" spans="1:7">
      <c r="A14" s="10"/>
      <c r="B14" s="84" t="s">
        <v>255</v>
      </c>
      <c r="C14" s="12"/>
      <c r="D14" s="13"/>
      <c r="E14" s="14"/>
      <c r="F14" s="10"/>
      <c r="G14" s="87" t="s">
        <v>28</v>
      </c>
    </row>
    <row r="15" spans="1:7">
      <c r="A15" s="10"/>
      <c r="B15" s="85" t="s">
        <v>256</v>
      </c>
      <c r="C15" s="12"/>
      <c r="D15" s="13"/>
      <c r="E15" s="14"/>
      <c r="F15" s="10"/>
      <c r="G15" s="87" t="s">
        <v>259</v>
      </c>
    </row>
    <row r="16" spans="1:7">
      <c r="A16" s="10"/>
      <c r="B16" s="96"/>
      <c r="C16" s="12"/>
      <c r="D16" s="13"/>
      <c r="E16" s="14"/>
      <c r="F16" s="10"/>
      <c r="G16" s="88" t="s">
        <v>29</v>
      </c>
    </row>
    <row r="17" spans="1:7">
      <c r="A17" s="10"/>
      <c r="B17" s="90"/>
      <c r="C17" s="12"/>
      <c r="D17" s="13"/>
      <c r="E17" s="14"/>
      <c r="F17" s="10"/>
      <c r="G17" s="88"/>
    </row>
    <row r="18" spans="1:7">
      <c r="A18" s="10"/>
      <c r="B18" s="85"/>
      <c r="C18" s="12"/>
      <c r="D18" s="13"/>
      <c r="E18" s="14"/>
      <c r="F18" s="10"/>
      <c r="G18" s="88"/>
    </row>
    <row r="19" spans="1:7">
      <c r="A19" s="10"/>
      <c r="B19" s="85"/>
      <c r="C19" s="12"/>
      <c r="D19" s="13"/>
      <c r="E19" s="14"/>
      <c r="F19" s="10"/>
      <c r="G19" s="88"/>
    </row>
    <row r="20" spans="1:7">
      <c r="A20" s="10"/>
      <c r="B20" s="85"/>
      <c r="C20" s="12"/>
      <c r="D20" s="13"/>
      <c r="E20" s="14"/>
      <c r="F20" s="10"/>
      <c r="G20" s="88"/>
    </row>
    <row r="21" spans="1:7" ht="23">
      <c r="A21" s="2"/>
      <c r="B21" s="21" t="s">
        <v>6</v>
      </c>
      <c r="C21" s="12"/>
      <c r="D21" s="2"/>
      <c r="E21" s="22">
        <f>SUM(E5:E20)</f>
        <v>350000</v>
      </c>
      <c r="F21" s="2"/>
      <c r="G21" s="2"/>
    </row>
    <row r="22" spans="1:7" ht="23.5" thickBot="1">
      <c r="A22" s="2"/>
      <c r="B22" s="21" t="s">
        <v>114</v>
      </c>
      <c r="C22" s="12"/>
      <c r="D22" s="2"/>
      <c r="E22" s="93">
        <f>E21*7%</f>
        <v>24500.000000000004</v>
      </c>
      <c r="F22" s="2"/>
      <c r="G22" s="2"/>
    </row>
    <row r="23" spans="1:7" ht="23.5" thickBot="1">
      <c r="A23" s="2"/>
      <c r="B23" s="20" t="s">
        <v>35</v>
      </c>
      <c r="C23" s="2"/>
      <c r="D23" s="2"/>
      <c r="E23" s="95">
        <f>SUM(E21:E22)</f>
        <v>374500</v>
      </c>
      <c r="F23" s="2"/>
      <c r="G23" s="2"/>
    </row>
    <row r="24" spans="1:7" ht="25" thickTop="1">
      <c r="A24" s="2"/>
      <c r="B24" s="20"/>
      <c r="C24" s="2"/>
      <c r="D24" s="2"/>
      <c r="E24" s="94"/>
      <c r="F24" s="2"/>
      <c r="G24" s="2"/>
    </row>
    <row r="25" spans="1:7" ht="33">
      <c r="A25" s="2"/>
      <c r="B25" s="26" t="s">
        <v>36</v>
      </c>
      <c r="C25" s="202" t="str">
        <f>BAHTTEXT(E23)</f>
        <v>สามแสนเจ็ดหมื่นสี่พันห้าร้อยบาทถ้วน</v>
      </c>
      <c r="D25" s="203"/>
      <c r="E25" s="203"/>
      <c r="F25" s="203"/>
      <c r="G25" s="204"/>
    </row>
  </sheetData>
  <mergeCells count="6">
    <mergeCell ref="C25:G25"/>
    <mergeCell ref="A2:A4"/>
    <mergeCell ref="B2:B4"/>
    <mergeCell ref="C2:C4"/>
    <mergeCell ref="D2:E2"/>
    <mergeCell ref="F2:F4"/>
  </mergeCells>
  <pageMargins left="0.7" right="0.7" top="0.75" bottom="0.75" header="0.3" footer="0.3"/>
  <pageSetup paperSize="9" scale="63"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B0532-BD16-420C-B6AF-93C34161814F}">
  <dimension ref="A2:G25"/>
  <sheetViews>
    <sheetView topLeftCell="A4" zoomScale="145" zoomScaleNormal="145" workbookViewId="0">
      <selection activeCell="B5" sqref="B5"/>
    </sheetView>
  </sheetViews>
  <sheetFormatPr defaultColWidth="9.08203125" defaultRowHeight="20.5"/>
  <cols>
    <col min="1" max="1" width="6.08203125" style="1" bestFit="1" customWidth="1"/>
    <col min="2" max="2" width="55" style="1" customWidth="1"/>
    <col min="3" max="3" width="6.08203125" style="1" bestFit="1" customWidth="1"/>
    <col min="4" max="4" width="9.75" style="1" bestFit="1" customWidth="1"/>
    <col min="5" max="5" width="12.5" style="1" bestFit="1" customWidth="1"/>
    <col min="6" max="6" width="12.75" style="1" bestFit="1" customWidth="1"/>
    <col min="7" max="7" width="24.5" style="1" bestFit="1" customWidth="1"/>
    <col min="8" max="16384" width="9.08203125" style="1"/>
  </cols>
  <sheetData>
    <row r="2" spans="1:7" ht="21" customHeight="1">
      <c r="A2" s="183" t="s">
        <v>0</v>
      </c>
      <c r="B2" s="186" t="s">
        <v>1</v>
      </c>
      <c r="C2" s="183" t="s">
        <v>2</v>
      </c>
      <c r="D2" s="189" t="s">
        <v>3</v>
      </c>
      <c r="E2" s="190"/>
      <c r="F2" s="186" t="s">
        <v>257</v>
      </c>
      <c r="G2" s="4"/>
    </row>
    <row r="3" spans="1:7">
      <c r="A3" s="184"/>
      <c r="B3" s="187"/>
      <c r="C3" s="184"/>
      <c r="D3" s="5" t="s">
        <v>5</v>
      </c>
      <c r="E3" s="6" t="s">
        <v>6</v>
      </c>
      <c r="F3" s="187"/>
      <c r="G3" s="80" t="s">
        <v>163</v>
      </c>
    </row>
    <row r="4" spans="1:7">
      <c r="A4" s="185"/>
      <c r="B4" s="188"/>
      <c r="C4" s="185"/>
      <c r="D4" s="8" t="s">
        <v>4</v>
      </c>
      <c r="E4" s="8" t="s">
        <v>4</v>
      </c>
      <c r="F4" s="188"/>
      <c r="G4" s="9"/>
    </row>
    <row r="5" spans="1:7">
      <c r="A5" s="10">
        <v>1</v>
      </c>
      <c r="B5" s="91" t="s">
        <v>247</v>
      </c>
      <c r="C5" s="12">
        <v>50</v>
      </c>
      <c r="D5" s="13">
        <v>7000</v>
      </c>
      <c r="E5" s="14">
        <f>+C5*D5</f>
        <v>350000</v>
      </c>
      <c r="F5" s="10">
        <v>45</v>
      </c>
      <c r="G5" s="86" t="s">
        <v>51</v>
      </c>
    </row>
    <row r="6" spans="1:7" ht="36">
      <c r="A6" s="10"/>
      <c r="B6" s="81" t="s">
        <v>248</v>
      </c>
      <c r="C6" s="12"/>
      <c r="D6" s="13"/>
      <c r="E6" s="14"/>
      <c r="F6" s="10"/>
      <c r="G6" s="89" t="s">
        <v>28</v>
      </c>
    </row>
    <row r="7" spans="1:7">
      <c r="A7" s="10"/>
      <c r="B7" s="82" t="s">
        <v>249</v>
      </c>
      <c r="C7" s="12"/>
      <c r="D7" s="38"/>
      <c r="E7" s="14"/>
      <c r="F7" s="10"/>
      <c r="G7" s="87" t="s">
        <v>259</v>
      </c>
    </row>
    <row r="8" spans="1:7">
      <c r="A8" s="2"/>
      <c r="B8" s="82" t="s">
        <v>250</v>
      </c>
      <c r="C8" s="12"/>
      <c r="D8" s="38"/>
      <c r="E8" s="14"/>
      <c r="F8" s="10"/>
      <c r="G8" s="88" t="s">
        <v>29</v>
      </c>
    </row>
    <row r="9" spans="1:7">
      <c r="A9" s="79"/>
      <c r="B9" s="83" t="s">
        <v>251</v>
      </c>
      <c r="C9" s="12"/>
      <c r="D9" s="38"/>
      <c r="E9" s="14"/>
      <c r="F9" s="10"/>
      <c r="G9" s="86" t="s">
        <v>50</v>
      </c>
    </row>
    <row r="10" spans="1:7">
      <c r="A10" s="10"/>
      <c r="B10" s="81" t="s">
        <v>252</v>
      </c>
      <c r="C10" s="12"/>
      <c r="D10" s="13"/>
      <c r="E10" s="14"/>
      <c r="F10" s="10"/>
      <c r="G10" s="88" t="s">
        <v>31</v>
      </c>
    </row>
    <row r="11" spans="1:7">
      <c r="A11" s="10"/>
      <c r="B11" s="81" t="s">
        <v>253</v>
      </c>
      <c r="C11" s="12"/>
      <c r="D11" s="13"/>
      <c r="E11" s="14"/>
      <c r="F11" s="10"/>
      <c r="G11" s="87" t="s">
        <v>33</v>
      </c>
    </row>
    <row r="12" spans="1:7" ht="36">
      <c r="A12" s="10"/>
      <c r="B12" s="81" t="s">
        <v>254</v>
      </c>
      <c r="C12" s="12"/>
      <c r="D12" s="13"/>
      <c r="E12" s="14"/>
      <c r="F12" s="10"/>
      <c r="G12" s="89" t="s">
        <v>30</v>
      </c>
    </row>
    <row r="13" spans="1:7" ht="36">
      <c r="A13" s="10"/>
      <c r="B13" s="84" t="s">
        <v>255</v>
      </c>
      <c r="C13" s="12"/>
      <c r="D13" s="13"/>
      <c r="E13" s="14"/>
      <c r="F13" s="10"/>
      <c r="G13" s="86" t="s">
        <v>258</v>
      </c>
    </row>
    <row r="14" spans="1:7">
      <c r="A14" s="10"/>
      <c r="B14" s="85" t="s">
        <v>256</v>
      </c>
      <c r="C14" s="12"/>
      <c r="D14" s="13"/>
      <c r="E14" s="14"/>
      <c r="F14" s="10"/>
      <c r="G14" s="87" t="s">
        <v>28</v>
      </c>
    </row>
    <row r="15" spans="1:7">
      <c r="A15" s="10"/>
      <c r="B15" s="85"/>
      <c r="C15" s="12"/>
      <c r="D15" s="13"/>
      <c r="E15" s="14"/>
      <c r="F15" s="10"/>
      <c r="G15" s="87" t="s">
        <v>259</v>
      </c>
    </row>
    <row r="16" spans="1:7">
      <c r="A16" s="10">
        <v>2</v>
      </c>
      <c r="B16" s="92" t="s">
        <v>260</v>
      </c>
      <c r="C16" s="12">
        <v>30</v>
      </c>
      <c r="D16" s="13">
        <v>3500</v>
      </c>
      <c r="E16" s="14">
        <f t="shared" ref="E16" si="0">+C16*D16</f>
        <v>105000</v>
      </c>
      <c r="F16" s="10"/>
      <c r="G16" s="88" t="s">
        <v>29</v>
      </c>
    </row>
    <row r="17" spans="1:7">
      <c r="A17" s="10"/>
      <c r="B17" s="90" t="s">
        <v>261</v>
      </c>
      <c r="C17" s="12"/>
      <c r="D17" s="13"/>
      <c r="E17" s="14"/>
      <c r="F17" s="10"/>
      <c r="G17" s="88"/>
    </row>
    <row r="18" spans="1:7">
      <c r="A18" s="10"/>
      <c r="B18" s="85" t="s">
        <v>262</v>
      </c>
      <c r="C18" s="12"/>
      <c r="D18" s="13"/>
      <c r="E18" s="14"/>
      <c r="F18" s="10"/>
      <c r="G18" s="88"/>
    </row>
    <row r="19" spans="1:7">
      <c r="A19" s="10"/>
      <c r="B19" s="85" t="s">
        <v>250</v>
      </c>
      <c r="C19" s="12"/>
      <c r="D19" s="13"/>
      <c r="E19" s="14"/>
      <c r="F19" s="10"/>
      <c r="G19" s="88"/>
    </row>
    <row r="20" spans="1:7">
      <c r="A20" s="10"/>
      <c r="B20" s="85" t="s">
        <v>251</v>
      </c>
      <c r="C20" s="12"/>
      <c r="D20" s="13"/>
      <c r="E20" s="14"/>
      <c r="F20" s="10"/>
      <c r="G20" s="88"/>
    </row>
    <row r="21" spans="1:7" ht="23">
      <c r="A21" s="2"/>
      <c r="B21" s="21" t="s">
        <v>6</v>
      </c>
      <c r="C21" s="12"/>
      <c r="D21" s="2"/>
      <c r="E21" s="22">
        <f>SUM(E5:E20)</f>
        <v>455000</v>
      </c>
      <c r="F21" s="2"/>
      <c r="G21" s="2"/>
    </row>
    <row r="22" spans="1:7" ht="23.5" thickBot="1">
      <c r="A22" s="2"/>
      <c r="B22" s="21" t="s">
        <v>114</v>
      </c>
      <c r="C22" s="12"/>
      <c r="D22" s="2"/>
      <c r="E22" s="93">
        <f>E21*7%</f>
        <v>31850.000000000004</v>
      </c>
      <c r="F22" s="2"/>
      <c r="G22" s="2"/>
    </row>
    <row r="23" spans="1:7" ht="23.5" thickBot="1">
      <c r="A23" s="2"/>
      <c r="B23" s="20" t="s">
        <v>35</v>
      </c>
      <c r="C23" s="2"/>
      <c r="D23" s="2"/>
      <c r="E23" s="95">
        <f>SUM(E21:E22)</f>
        <v>486850</v>
      </c>
      <c r="F23" s="2"/>
      <c r="G23" s="2"/>
    </row>
    <row r="24" spans="1:7" ht="25" thickTop="1">
      <c r="A24" s="2"/>
      <c r="B24" s="20"/>
      <c r="C24" s="2"/>
      <c r="D24" s="2"/>
      <c r="E24" s="94"/>
      <c r="F24" s="2"/>
      <c r="G24" s="2"/>
    </row>
    <row r="25" spans="1:7" ht="33">
      <c r="A25" s="2"/>
      <c r="B25" s="26" t="s">
        <v>36</v>
      </c>
      <c r="C25" s="202" t="str">
        <f>BAHTTEXT(E23)</f>
        <v>สี่แสนแปดหมื่นหกพันแปดร้อยห้าสิบบาทถ้วน</v>
      </c>
      <c r="D25" s="203"/>
      <c r="E25" s="203"/>
      <c r="F25" s="203"/>
      <c r="G25" s="204"/>
    </row>
  </sheetData>
  <mergeCells count="6">
    <mergeCell ref="C25:G25"/>
    <mergeCell ref="A2:A4"/>
    <mergeCell ref="B2:B4"/>
    <mergeCell ref="C2:C4"/>
    <mergeCell ref="D2:E2"/>
    <mergeCell ref="F2:F4"/>
  </mergeCells>
  <pageMargins left="0.7" right="0.7" top="0.75" bottom="0.75" header="0.3" footer="0.3"/>
  <pageSetup paperSize="9" scale="63"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1C818-653D-45CF-8589-FA8DC1BB77B2}">
  <dimension ref="A2:G19"/>
  <sheetViews>
    <sheetView zoomScaleNormal="100" workbookViewId="0">
      <selection activeCell="B5" sqref="B5"/>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61.5">
      <c r="A5" s="10">
        <v>1</v>
      </c>
      <c r="B5" s="30" t="s">
        <v>246</v>
      </c>
      <c r="C5" s="12">
        <v>12</v>
      </c>
      <c r="D5" s="13">
        <v>350</v>
      </c>
      <c r="E5" s="14">
        <f>+C5*D5</f>
        <v>4200</v>
      </c>
      <c r="F5" s="10">
        <v>30</v>
      </c>
      <c r="G5" s="29" t="s">
        <v>51</v>
      </c>
    </row>
    <row r="6" spans="1:7">
      <c r="A6" s="10"/>
      <c r="B6" s="30"/>
      <c r="C6" s="12"/>
      <c r="D6" s="13"/>
      <c r="E6" s="14"/>
      <c r="F6" s="10"/>
      <c r="G6" s="15" t="s">
        <v>29</v>
      </c>
    </row>
    <row r="7" spans="1:7">
      <c r="A7" s="10"/>
      <c r="B7" s="15"/>
      <c r="C7" s="12"/>
      <c r="D7" s="38"/>
      <c r="E7" s="14"/>
      <c r="F7" s="10"/>
      <c r="G7" s="15" t="s">
        <v>28</v>
      </c>
    </row>
    <row r="8" spans="1:7">
      <c r="A8" s="2"/>
      <c r="B8" s="15"/>
      <c r="C8" s="12"/>
      <c r="D8" s="38"/>
      <c r="E8" s="14"/>
      <c r="F8" s="10"/>
      <c r="G8" s="15" t="s">
        <v>30</v>
      </c>
    </row>
    <row r="9" spans="1:7">
      <c r="A9" s="79"/>
      <c r="B9" s="39"/>
      <c r="C9" s="12"/>
      <c r="D9" s="38"/>
      <c r="E9" s="14"/>
      <c r="F9" s="10"/>
      <c r="G9" s="29" t="s">
        <v>50</v>
      </c>
    </row>
    <row r="10" spans="1:7">
      <c r="A10" s="10"/>
      <c r="B10" s="30"/>
      <c r="C10" s="12"/>
      <c r="D10" s="13"/>
      <c r="E10" s="14"/>
      <c r="F10" s="10"/>
      <c r="G10" s="40" t="s">
        <v>31</v>
      </c>
    </row>
    <row r="11" spans="1:7">
      <c r="A11" s="10"/>
      <c r="B11" s="30"/>
      <c r="C11" s="12"/>
      <c r="D11" s="13"/>
      <c r="E11" s="14"/>
      <c r="F11" s="10"/>
      <c r="G11" s="15" t="s">
        <v>33</v>
      </c>
    </row>
    <row r="12" spans="1:7">
      <c r="A12" s="10"/>
      <c r="B12" s="30"/>
      <c r="C12" s="12"/>
      <c r="D12" s="13"/>
      <c r="E12" s="14"/>
      <c r="F12" s="10"/>
      <c r="G12" s="15" t="s">
        <v>238</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4200</v>
      </c>
      <c r="F15" s="2"/>
      <c r="G15" s="2"/>
    </row>
    <row r="16" spans="1:7" ht="24.5">
      <c r="A16" s="2"/>
      <c r="B16" s="21" t="s">
        <v>114</v>
      </c>
      <c r="C16" s="12"/>
      <c r="D16" s="2"/>
      <c r="E16" s="23">
        <f>E15*7%</f>
        <v>294</v>
      </c>
      <c r="F16" s="2"/>
      <c r="G16" s="2"/>
    </row>
    <row r="17" spans="1:7" ht="24.5">
      <c r="A17" s="2"/>
      <c r="B17" s="20" t="s">
        <v>35</v>
      </c>
      <c r="C17" s="2"/>
      <c r="D17" s="2"/>
      <c r="E17" s="24">
        <f>SUM(E15:E16)</f>
        <v>4494</v>
      </c>
      <c r="F17" s="2"/>
      <c r="G17" s="2"/>
    </row>
    <row r="18" spans="1:7" ht="24.5">
      <c r="A18" s="2"/>
      <c r="B18" s="20"/>
      <c r="C18" s="2"/>
      <c r="D18" s="2"/>
      <c r="E18" s="24"/>
      <c r="F18" s="2"/>
      <c r="G18" s="2"/>
    </row>
    <row r="19" spans="1:7" ht="33">
      <c r="A19" s="2"/>
      <c r="B19" s="26" t="s">
        <v>36</v>
      </c>
      <c r="C19" s="202" t="str">
        <f>BAHTTEXT(E17)</f>
        <v>สี่พันสี่ร้อยเก้าสิบสี่บาทถ้วน</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01F2-0354-4717-9803-A847A6543FBA}">
  <dimension ref="A2:G19"/>
  <sheetViews>
    <sheetView topLeftCell="A4" zoomScale="115" zoomScaleNormal="115" workbookViewId="0">
      <selection activeCell="B6" sqref="B6:B12"/>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245</v>
      </c>
      <c r="C5" s="12">
        <v>4</v>
      </c>
      <c r="D5" s="13">
        <v>740</v>
      </c>
      <c r="E5" s="14">
        <f>+C5*D5</f>
        <v>2960</v>
      </c>
      <c r="F5" s="10">
        <v>30</v>
      </c>
      <c r="G5" s="29" t="s">
        <v>51</v>
      </c>
    </row>
    <row r="6" spans="1:7">
      <c r="A6" s="10">
        <v>2</v>
      </c>
      <c r="B6" s="30"/>
      <c r="C6" s="12">
        <v>2</v>
      </c>
      <c r="D6" s="13">
        <v>720</v>
      </c>
      <c r="E6" s="14">
        <f t="shared" ref="E6:E10" si="0">+C6*D6</f>
        <v>1440</v>
      </c>
      <c r="F6" s="10">
        <v>30</v>
      </c>
      <c r="G6" s="15" t="s">
        <v>29</v>
      </c>
    </row>
    <row r="7" spans="1:7">
      <c r="A7" s="10">
        <v>3</v>
      </c>
      <c r="B7" s="15"/>
      <c r="C7" s="12">
        <v>4</v>
      </c>
      <c r="D7" s="38">
        <v>2790</v>
      </c>
      <c r="E7" s="14">
        <f t="shared" si="0"/>
        <v>11160</v>
      </c>
      <c r="F7" s="10">
        <v>30</v>
      </c>
      <c r="G7" s="15" t="s">
        <v>28</v>
      </c>
    </row>
    <row r="8" spans="1:7">
      <c r="A8" s="2">
        <v>4</v>
      </c>
      <c r="B8" s="15"/>
      <c r="C8" s="12">
        <v>2</v>
      </c>
      <c r="D8" s="38">
        <v>1695</v>
      </c>
      <c r="E8" s="14">
        <f t="shared" si="0"/>
        <v>3390</v>
      </c>
      <c r="F8" s="10">
        <v>30</v>
      </c>
      <c r="G8" s="15" t="s">
        <v>30</v>
      </c>
    </row>
    <row r="9" spans="1:7">
      <c r="A9" s="79">
        <v>5</v>
      </c>
      <c r="B9" s="39"/>
      <c r="C9" s="12">
        <v>5</v>
      </c>
      <c r="D9" s="38">
        <v>420</v>
      </c>
      <c r="E9" s="14">
        <f t="shared" si="0"/>
        <v>2100</v>
      </c>
      <c r="F9" s="10">
        <v>30</v>
      </c>
      <c r="G9" s="29" t="s">
        <v>50</v>
      </c>
    </row>
    <row r="10" spans="1:7">
      <c r="A10" s="10">
        <v>6</v>
      </c>
      <c r="B10" s="30"/>
      <c r="C10" s="12">
        <v>3</v>
      </c>
      <c r="D10" s="13">
        <v>2215</v>
      </c>
      <c r="E10" s="14">
        <f t="shared" si="0"/>
        <v>6645</v>
      </c>
      <c r="F10" s="10">
        <v>30</v>
      </c>
      <c r="G10" s="40" t="s">
        <v>31</v>
      </c>
    </row>
    <row r="11" spans="1:7">
      <c r="A11" s="10"/>
      <c r="B11" s="30"/>
      <c r="C11" s="12"/>
      <c r="D11" s="13"/>
      <c r="E11" s="14"/>
      <c r="F11" s="10"/>
      <c r="G11" s="15" t="s">
        <v>33</v>
      </c>
    </row>
    <row r="12" spans="1:7">
      <c r="A12" s="10"/>
      <c r="B12" s="30"/>
      <c r="C12" s="12"/>
      <c r="D12" s="13"/>
      <c r="E12" s="14"/>
      <c r="F12" s="10"/>
      <c r="G12" s="15" t="s">
        <v>238</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27695</v>
      </c>
      <c r="F15" s="2"/>
      <c r="G15" s="2"/>
    </row>
    <row r="16" spans="1:7" ht="24.5">
      <c r="A16" s="2"/>
      <c r="B16" s="21" t="s">
        <v>114</v>
      </c>
      <c r="C16" s="12"/>
      <c r="D16" s="2"/>
      <c r="E16" s="23">
        <f>E15*7%</f>
        <v>1938.65</v>
      </c>
      <c r="F16" s="2"/>
      <c r="G16" s="2"/>
    </row>
    <row r="17" spans="1:7" ht="24.5">
      <c r="A17" s="2"/>
      <c r="B17" s="20" t="s">
        <v>35</v>
      </c>
      <c r="C17" s="2"/>
      <c r="D17" s="2"/>
      <c r="E17" s="24">
        <f>SUM(E15:E16)</f>
        <v>29633.65</v>
      </c>
      <c r="F17" s="2"/>
      <c r="G17" s="2"/>
    </row>
    <row r="18" spans="1:7" ht="24.5">
      <c r="A18" s="2"/>
      <c r="B18" s="20"/>
      <c r="C18" s="2"/>
      <c r="D18" s="2"/>
      <c r="E18" s="24"/>
      <c r="F18" s="2"/>
      <c r="G18" s="2"/>
    </row>
    <row r="19" spans="1:7" ht="33">
      <c r="A19" s="2"/>
      <c r="B19" s="26" t="s">
        <v>36</v>
      </c>
      <c r="C19" s="202" t="str">
        <f>BAHTTEXT(E17)</f>
        <v>สองหมื่นเก้าพันหกร้อยสามสิบสามบาทหกสิบห้าสตางค์</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7A13-8626-4EEC-AA5F-B8827621F97A}">
  <dimension ref="A2:G19"/>
  <sheetViews>
    <sheetView zoomScale="115" zoomScaleNormal="115" workbookViewId="0">
      <selection activeCell="B6" sqref="B6"/>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244</v>
      </c>
      <c r="C5" s="12">
        <v>1</v>
      </c>
      <c r="D5" s="13">
        <v>875</v>
      </c>
      <c r="E5" s="14">
        <f>+C5*D5</f>
        <v>875</v>
      </c>
      <c r="F5" s="10">
        <v>30</v>
      </c>
      <c r="G5" s="29" t="s">
        <v>51</v>
      </c>
    </row>
    <row r="6" spans="1:7">
      <c r="A6" s="10"/>
      <c r="B6" s="30"/>
      <c r="C6" s="12"/>
      <c r="D6" s="13"/>
      <c r="E6" s="14"/>
      <c r="F6" s="10"/>
      <c r="G6" s="15" t="s">
        <v>29</v>
      </c>
    </row>
    <row r="7" spans="1:7">
      <c r="A7" s="10"/>
      <c r="B7" s="15"/>
      <c r="C7" s="12"/>
      <c r="D7" s="38"/>
      <c r="E7" s="14"/>
      <c r="F7" s="10"/>
      <c r="G7" s="15" t="s">
        <v>28</v>
      </c>
    </row>
    <row r="8" spans="1:7">
      <c r="A8" s="2"/>
      <c r="B8" s="15"/>
      <c r="C8" s="12"/>
      <c r="D8" s="38"/>
      <c r="E8" s="14"/>
      <c r="F8" s="10"/>
      <c r="G8" s="15" t="s">
        <v>30</v>
      </c>
    </row>
    <row r="9" spans="1:7">
      <c r="A9" s="79"/>
      <c r="B9" s="39"/>
      <c r="C9" s="12"/>
      <c r="D9" s="38"/>
      <c r="E9" s="14"/>
      <c r="F9" s="10"/>
      <c r="G9" s="29" t="s">
        <v>50</v>
      </c>
    </row>
    <row r="10" spans="1:7">
      <c r="A10" s="10"/>
      <c r="B10" s="30"/>
      <c r="C10" s="12"/>
      <c r="D10" s="13"/>
      <c r="E10" s="14"/>
      <c r="F10" s="10"/>
      <c r="G10" s="40" t="s">
        <v>31</v>
      </c>
    </row>
    <row r="11" spans="1:7">
      <c r="A11" s="10"/>
      <c r="B11" s="30"/>
      <c r="C11" s="12"/>
      <c r="D11" s="13"/>
      <c r="E11" s="14"/>
      <c r="F11" s="10"/>
      <c r="G11" s="15" t="s">
        <v>33</v>
      </c>
    </row>
    <row r="12" spans="1:7">
      <c r="A12" s="10"/>
      <c r="B12" s="30"/>
      <c r="C12" s="12"/>
      <c r="D12" s="13"/>
      <c r="E12" s="14"/>
      <c r="F12" s="10"/>
      <c r="G12" s="15" t="s">
        <v>238</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875</v>
      </c>
      <c r="F15" s="2"/>
      <c r="G15" s="2"/>
    </row>
    <row r="16" spans="1:7" ht="24.5">
      <c r="A16" s="2"/>
      <c r="B16" s="21" t="s">
        <v>114</v>
      </c>
      <c r="C16" s="12"/>
      <c r="D16" s="2"/>
      <c r="E16" s="23">
        <f>E15*7%</f>
        <v>61.250000000000007</v>
      </c>
      <c r="F16" s="2"/>
      <c r="G16" s="2"/>
    </row>
    <row r="17" spans="1:7" ht="24.5">
      <c r="A17" s="2"/>
      <c r="B17" s="20" t="s">
        <v>35</v>
      </c>
      <c r="C17" s="2"/>
      <c r="D17" s="2"/>
      <c r="E17" s="24">
        <f>SUM(E15:E16)</f>
        <v>936.25</v>
      </c>
      <c r="F17" s="2"/>
      <c r="G17" s="2"/>
    </row>
    <row r="18" spans="1:7" ht="24.5">
      <c r="A18" s="2"/>
      <c r="B18" s="20"/>
      <c r="C18" s="2"/>
      <c r="D18" s="2"/>
      <c r="E18" s="24"/>
      <c r="F18" s="2"/>
      <c r="G18" s="2"/>
    </row>
    <row r="19" spans="1:7" ht="33">
      <c r="A19" s="2"/>
      <c r="B19" s="26" t="s">
        <v>36</v>
      </c>
      <c r="C19" s="202" t="str">
        <f>BAHTTEXT(E17)</f>
        <v>เก้าร้อยสามสิบหกบาทยี่สิบห้าสตางค์</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765B8-BC4B-4B1B-B378-E735BA36BE8B}">
  <dimension ref="A2:G19"/>
  <sheetViews>
    <sheetView zoomScale="115" zoomScaleNormal="115" workbookViewId="0">
      <selection activeCell="B12" sqref="B12"/>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10">
        <v>1</v>
      </c>
      <c r="B5" s="30" t="s">
        <v>239</v>
      </c>
      <c r="C5" s="12">
        <v>15</v>
      </c>
      <c r="D5" s="13">
        <v>3700</v>
      </c>
      <c r="E5" s="14">
        <f>+C5*D5</f>
        <v>55500</v>
      </c>
      <c r="F5" s="10">
        <v>30</v>
      </c>
      <c r="G5" s="29" t="s">
        <v>51</v>
      </c>
    </row>
    <row r="6" spans="1:7">
      <c r="A6" s="10">
        <v>2</v>
      </c>
      <c r="B6" s="30" t="s">
        <v>240</v>
      </c>
      <c r="C6" s="12">
        <v>15</v>
      </c>
      <c r="D6" s="13">
        <v>300</v>
      </c>
      <c r="E6" s="14">
        <f t="shared" ref="E6:E9" si="0">+C6*D6</f>
        <v>4500</v>
      </c>
      <c r="F6" s="10">
        <v>30</v>
      </c>
      <c r="G6" s="15" t="s">
        <v>29</v>
      </c>
    </row>
    <row r="7" spans="1:7">
      <c r="A7" s="10">
        <v>3</v>
      </c>
      <c r="B7" s="15" t="s">
        <v>241</v>
      </c>
      <c r="C7" s="12">
        <v>15</v>
      </c>
      <c r="D7" s="38">
        <v>400</v>
      </c>
      <c r="E7" s="14">
        <f t="shared" si="0"/>
        <v>6000</v>
      </c>
      <c r="F7" s="10">
        <v>30</v>
      </c>
      <c r="G7" s="15" t="s">
        <v>28</v>
      </c>
    </row>
    <row r="8" spans="1:7">
      <c r="A8" s="2">
        <v>4</v>
      </c>
      <c r="B8" s="15" t="s">
        <v>242</v>
      </c>
      <c r="C8" s="12">
        <v>15</v>
      </c>
      <c r="D8" s="38">
        <v>900</v>
      </c>
      <c r="E8" s="14">
        <f t="shared" si="0"/>
        <v>13500</v>
      </c>
      <c r="F8" s="10">
        <v>30</v>
      </c>
      <c r="G8" s="15" t="s">
        <v>30</v>
      </c>
    </row>
    <row r="9" spans="1:7">
      <c r="A9" s="79">
        <v>5</v>
      </c>
      <c r="B9" s="39" t="s">
        <v>243</v>
      </c>
      <c r="C9" s="12">
        <v>15</v>
      </c>
      <c r="D9" s="38">
        <v>300</v>
      </c>
      <c r="E9" s="14">
        <f t="shared" si="0"/>
        <v>4500</v>
      </c>
      <c r="F9" s="10">
        <v>30</v>
      </c>
      <c r="G9" s="29" t="s">
        <v>50</v>
      </c>
    </row>
    <row r="10" spans="1:7">
      <c r="A10" s="10"/>
      <c r="B10" s="30"/>
      <c r="C10" s="12"/>
      <c r="D10" s="13"/>
      <c r="E10" s="14"/>
      <c r="F10" s="10"/>
      <c r="G10" s="40" t="s">
        <v>31</v>
      </c>
    </row>
    <row r="11" spans="1:7">
      <c r="A11" s="10"/>
      <c r="B11" s="30"/>
      <c r="C11" s="12"/>
      <c r="D11" s="13"/>
      <c r="E11" s="14"/>
      <c r="F11" s="10"/>
      <c r="G11" s="15" t="s">
        <v>33</v>
      </c>
    </row>
    <row r="12" spans="1:7">
      <c r="A12" s="10"/>
      <c r="B12" s="30"/>
      <c r="C12" s="12"/>
      <c r="D12" s="13"/>
      <c r="E12" s="14"/>
      <c r="F12" s="10"/>
      <c r="G12" s="15" t="s">
        <v>238</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84000</v>
      </c>
      <c r="F15" s="2"/>
      <c r="G15" s="2"/>
    </row>
    <row r="16" spans="1:7" ht="24.5">
      <c r="A16" s="2"/>
      <c r="B16" s="21" t="s">
        <v>114</v>
      </c>
      <c r="C16" s="12"/>
      <c r="D16" s="2"/>
      <c r="E16" s="23">
        <f>E15*7%</f>
        <v>5880.0000000000009</v>
      </c>
      <c r="F16" s="2"/>
      <c r="G16" s="2"/>
    </row>
    <row r="17" spans="1:7" ht="24.5">
      <c r="A17" s="2"/>
      <c r="B17" s="20" t="s">
        <v>35</v>
      </c>
      <c r="C17" s="2"/>
      <c r="D17" s="2"/>
      <c r="E17" s="24">
        <f>SUM(E15:E16)</f>
        <v>89880</v>
      </c>
      <c r="F17" s="2"/>
      <c r="G17" s="2"/>
    </row>
    <row r="18" spans="1:7" ht="24.5">
      <c r="A18" s="2"/>
      <c r="B18" s="20"/>
      <c r="C18" s="2"/>
      <c r="D18" s="2"/>
      <c r="E18" s="24"/>
      <c r="F18" s="2"/>
      <c r="G18" s="2"/>
    </row>
    <row r="19" spans="1:7" ht="33">
      <c r="A19" s="2"/>
      <c r="B19" s="26" t="s">
        <v>36</v>
      </c>
      <c r="C19" s="202" t="str">
        <f>BAHTTEXT(E17)</f>
        <v>แปดหมื่นเก้าพันแปดร้อยแปดสิบบาทถ้วน</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DA68-D944-4A4C-8DCE-B6E0059C897A}">
  <dimension ref="A2:G19"/>
  <sheetViews>
    <sheetView topLeftCell="A4" zoomScale="115" zoomScaleNormal="115" workbookViewId="0">
      <selection activeCell="B8" sqref="B8"/>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61.5">
      <c r="A5" s="10">
        <v>1</v>
      </c>
      <c r="B5" s="30" t="s">
        <v>115</v>
      </c>
      <c r="C5" s="12">
        <v>40</v>
      </c>
      <c r="D5" s="13">
        <v>600</v>
      </c>
      <c r="E5" s="14">
        <f t="shared" ref="E5" si="0">C5*D5</f>
        <v>24000</v>
      </c>
      <c r="F5" s="10">
        <v>30</v>
      </c>
      <c r="G5" s="29" t="s">
        <v>51</v>
      </c>
    </row>
    <row r="6" spans="1:7">
      <c r="A6" s="10"/>
      <c r="B6" s="30"/>
      <c r="C6" s="12"/>
      <c r="D6" s="13"/>
      <c r="E6" s="14"/>
      <c r="F6" s="10"/>
      <c r="G6" s="15" t="s">
        <v>29</v>
      </c>
    </row>
    <row r="7" spans="1:7">
      <c r="A7" s="10"/>
      <c r="B7" s="15"/>
      <c r="C7" s="37"/>
      <c r="D7" s="38"/>
      <c r="E7" s="14"/>
      <c r="F7" s="10"/>
      <c r="G7" s="15" t="s">
        <v>28</v>
      </c>
    </row>
    <row r="8" spans="1:7">
      <c r="A8" s="2"/>
      <c r="B8" s="15"/>
      <c r="C8" s="37"/>
      <c r="D8" s="38"/>
      <c r="E8" s="14"/>
      <c r="G8" s="15" t="s">
        <v>30</v>
      </c>
    </row>
    <row r="9" spans="1:7">
      <c r="A9" s="79"/>
      <c r="B9" s="39"/>
      <c r="C9" s="37"/>
      <c r="D9" s="38"/>
      <c r="E9" s="14"/>
      <c r="F9" s="10"/>
      <c r="G9" s="29" t="s">
        <v>50</v>
      </c>
    </row>
    <row r="10" spans="1:7">
      <c r="A10" s="10"/>
      <c r="B10" s="30"/>
      <c r="C10" s="12"/>
      <c r="D10" s="13"/>
      <c r="E10" s="14"/>
      <c r="F10" s="10"/>
      <c r="G10" s="40" t="s">
        <v>31</v>
      </c>
    </row>
    <row r="11" spans="1:7">
      <c r="A11" s="10"/>
      <c r="B11" s="30"/>
      <c r="C11" s="12"/>
      <c r="D11" s="13"/>
      <c r="E11" s="14"/>
      <c r="F11" s="10"/>
      <c r="G11" s="15" t="s">
        <v>33</v>
      </c>
    </row>
    <row r="12" spans="1:7">
      <c r="A12" s="10"/>
      <c r="B12" s="30"/>
      <c r="C12" s="12"/>
      <c r="D12" s="13"/>
      <c r="E12" s="14"/>
      <c r="F12" s="10"/>
      <c r="G12" s="15" t="s">
        <v>238</v>
      </c>
    </row>
    <row r="13" spans="1:7">
      <c r="A13" s="10"/>
      <c r="B13" s="30"/>
      <c r="C13" s="12"/>
      <c r="D13" s="13"/>
      <c r="E13" s="14"/>
      <c r="F13" s="3"/>
      <c r="G13" s="15"/>
    </row>
    <row r="14" spans="1:7">
      <c r="A14" s="10"/>
      <c r="B14" s="30"/>
      <c r="C14" s="12"/>
      <c r="D14" s="13"/>
      <c r="E14" s="14"/>
      <c r="F14" s="3"/>
      <c r="G14" s="15"/>
    </row>
    <row r="15" spans="1:7" ht="23">
      <c r="A15" s="2"/>
      <c r="B15" s="21" t="s">
        <v>6</v>
      </c>
      <c r="C15" s="12"/>
      <c r="D15" s="2"/>
      <c r="E15" s="22">
        <f>SUM(E5:E13)</f>
        <v>24000</v>
      </c>
      <c r="F15" s="2"/>
      <c r="G15" s="2"/>
    </row>
    <row r="16" spans="1:7" ht="24.5">
      <c r="A16" s="2"/>
      <c r="B16" s="21" t="s">
        <v>114</v>
      </c>
      <c r="C16" s="12"/>
      <c r="D16" s="2"/>
      <c r="E16" s="23">
        <f>E15*7%</f>
        <v>1680.0000000000002</v>
      </c>
      <c r="F16" s="2"/>
      <c r="G16" s="2"/>
    </row>
    <row r="17" spans="1:7" ht="24.5">
      <c r="A17" s="2"/>
      <c r="B17" s="20" t="s">
        <v>35</v>
      </c>
      <c r="C17" s="2"/>
      <c r="D17" s="2"/>
      <c r="E17" s="24">
        <f>SUM(E15:E16)</f>
        <v>25680</v>
      </c>
      <c r="F17" s="2"/>
      <c r="G17" s="2"/>
    </row>
    <row r="18" spans="1:7" ht="24.5">
      <c r="A18" s="2"/>
      <c r="B18" s="20"/>
      <c r="C18" s="2"/>
      <c r="D18" s="2"/>
      <c r="E18" s="24"/>
      <c r="F18" s="2"/>
      <c r="G18" s="2"/>
    </row>
    <row r="19" spans="1:7" ht="33">
      <c r="A19" s="2"/>
      <c r="B19" s="26" t="s">
        <v>36</v>
      </c>
      <c r="C19" s="202" t="str">
        <f>BAHTTEXT(E17)</f>
        <v>สองหมื่นห้าพันหกร้อยแปดสิบบาทถ้วน</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CD4E-AAAC-4EB4-98EB-E53F53DD5EC5}">
  <sheetPr>
    <pageSetUpPr fitToPage="1"/>
  </sheetPr>
  <dimension ref="A2:G27"/>
  <sheetViews>
    <sheetView zoomScale="85" zoomScaleNormal="85" workbookViewId="0">
      <selection activeCell="B26" sqref="B26"/>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78">
        <v>1</v>
      </c>
      <c r="B5" s="11" t="s">
        <v>233</v>
      </c>
      <c r="C5" s="12">
        <v>10</v>
      </c>
      <c r="D5" s="55">
        <v>89</v>
      </c>
      <c r="E5" s="56">
        <f>D5*C5</f>
        <v>890</v>
      </c>
      <c r="F5" s="52">
        <v>30</v>
      </c>
      <c r="G5" s="57" t="s">
        <v>161</v>
      </c>
    </row>
    <row r="6" spans="1:7">
      <c r="A6" s="78">
        <v>2</v>
      </c>
      <c r="B6" s="11" t="s">
        <v>234</v>
      </c>
      <c r="C6" s="12">
        <v>10</v>
      </c>
      <c r="D6" s="55">
        <v>95</v>
      </c>
      <c r="E6" s="56">
        <f t="shared" ref="E6:E9" si="0">D6*C6</f>
        <v>950</v>
      </c>
      <c r="F6" s="52">
        <v>30</v>
      </c>
      <c r="G6" s="27" t="s">
        <v>28</v>
      </c>
    </row>
    <row r="7" spans="1:7">
      <c r="A7" s="78">
        <v>3</v>
      </c>
      <c r="B7" s="11" t="s">
        <v>235</v>
      </c>
      <c r="C7" s="12">
        <v>1</v>
      </c>
      <c r="D7" s="55">
        <v>169</v>
      </c>
      <c r="E7" s="56">
        <f t="shared" si="0"/>
        <v>169</v>
      </c>
      <c r="F7" s="52">
        <v>30</v>
      </c>
      <c r="G7" s="59" t="s">
        <v>30</v>
      </c>
    </row>
    <row r="8" spans="1:7">
      <c r="A8" s="78">
        <v>4</v>
      </c>
      <c r="B8" s="11" t="s">
        <v>236</v>
      </c>
      <c r="C8" s="12">
        <v>3</v>
      </c>
      <c r="D8" s="55">
        <v>320</v>
      </c>
      <c r="E8" s="56">
        <f t="shared" si="0"/>
        <v>960</v>
      </c>
      <c r="F8" s="52">
        <v>30</v>
      </c>
      <c r="G8" s="59" t="s">
        <v>29</v>
      </c>
    </row>
    <row r="9" spans="1:7">
      <c r="A9" s="78">
        <v>5</v>
      </c>
      <c r="B9" s="11" t="s">
        <v>237</v>
      </c>
      <c r="C9" s="12">
        <v>15</v>
      </c>
      <c r="D9" s="55">
        <v>289</v>
      </c>
      <c r="E9" s="56">
        <f t="shared" si="0"/>
        <v>4335</v>
      </c>
      <c r="F9" s="52">
        <v>30</v>
      </c>
      <c r="G9" s="59"/>
    </row>
    <row r="10" spans="1:7">
      <c r="A10" s="52"/>
      <c r="B10" s="53"/>
      <c r="C10" s="54"/>
      <c r="D10" s="55"/>
      <c r="E10" s="56"/>
      <c r="F10" s="52"/>
      <c r="G10" s="60" t="s">
        <v>162</v>
      </c>
    </row>
    <row r="11" spans="1:7">
      <c r="A11" s="52"/>
      <c r="B11" s="53"/>
      <c r="C11" s="54"/>
      <c r="D11" s="55"/>
      <c r="E11" s="56"/>
      <c r="F11" s="52"/>
      <c r="G11" s="61" t="s">
        <v>31</v>
      </c>
    </row>
    <row r="12" spans="1:7">
      <c r="A12" s="52"/>
      <c r="B12" s="53"/>
      <c r="C12" s="54"/>
      <c r="D12" s="55"/>
      <c r="E12" s="56"/>
      <c r="F12" s="52"/>
      <c r="G12" s="59" t="s">
        <v>32</v>
      </c>
    </row>
    <row r="13" spans="1:7">
      <c r="A13" s="52"/>
      <c r="B13" s="53"/>
      <c r="C13" s="54"/>
      <c r="D13" s="55"/>
      <c r="E13" s="56"/>
      <c r="F13" s="52"/>
      <c r="G13" s="59" t="s">
        <v>33</v>
      </c>
    </row>
    <row r="14" spans="1:7">
      <c r="A14" s="52"/>
      <c r="B14" s="53"/>
      <c r="C14" s="54"/>
      <c r="D14" s="55"/>
      <c r="E14" s="58"/>
      <c r="F14" s="52"/>
      <c r="G14" s="2"/>
    </row>
    <row r="15" spans="1:7" ht="41">
      <c r="A15" s="52"/>
      <c r="B15" s="53"/>
      <c r="C15" s="54"/>
      <c r="D15" s="55"/>
      <c r="E15" s="58"/>
      <c r="F15" s="52"/>
      <c r="G15" s="69" t="s">
        <v>164</v>
      </c>
    </row>
    <row r="16" spans="1:7">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7304</v>
      </c>
      <c r="F23" s="62"/>
      <c r="G23" s="2"/>
    </row>
    <row r="24" spans="1:7" ht="24.5">
      <c r="A24" s="62"/>
      <c r="B24" s="63" t="s">
        <v>34</v>
      </c>
      <c r="C24" s="54"/>
      <c r="D24" s="62"/>
      <c r="E24" s="65">
        <f>E23*7%</f>
        <v>511.28000000000003</v>
      </c>
      <c r="F24" s="62"/>
      <c r="G24" s="2"/>
    </row>
    <row r="25" spans="1:7" ht="24.5">
      <c r="A25" s="62"/>
      <c r="B25" s="66" t="s">
        <v>35</v>
      </c>
      <c r="C25" s="62"/>
      <c r="D25" s="62"/>
      <c r="E25" s="67">
        <f>SUM(E23:E24)</f>
        <v>7815.28</v>
      </c>
      <c r="F25" s="62"/>
      <c r="G25" s="62"/>
    </row>
    <row r="26" spans="1:7" ht="24.5">
      <c r="A26" s="62"/>
      <c r="B26" s="66"/>
      <c r="C26" s="62"/>
      <c r="D26" s="62"/>
      <c r="E26" s="67"/>
      <c r="F26" s="62"/>
      <c r="G26" s="62"/>
    </row>
    <row r="27" spans="1:7" ht="33">
      <c r="A27" s="62"/>
      <c r="B27" s="68" t="s">
        <v>36</v>
      </c>
      <c r="C27" s="197" t="str">
        <f>BAHTTEXT(E25)</f>
        <v>เจ็ดพันแปดร้อยสิบห้าบาทยี่สิบแปดสตางค์</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28543-A53E-4E7D-B45A-26B5B71DC666}">
  <sheetPr>
    <pageSetUpPr fitToPage="1"/>
  </sheetPr>
  <dimension ref="A2:G27"/>
  <sheetViews>
    <sheetView zoomScale="85" zoomScaleNormal="85" workbookViewId="0">
      <selection activeCell="D6" sqref="D6"/>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1" t="s">
        <v>172</v>
      </c>
      <c r="C5" s="54">
        <v>4</v>
      </c>
      <c r="D5" s="55">
        <v>4000</v>
      </c>
      <c r="E5" s="56">
        <f>D5*C5</f>
        <v>16000</v>
      </c>
      <c r="F5" s="52">
        <v>30</v>
      </c>
      <c r="G5" s="57" t="s">
        <v>161</v>
      </c>
    </row>
    <row r="6" spans="1:7">
      <c r="A6" s="52"/>
      <c r="B6" s="53" t="s">
        <v>231</v>
      </c>
      <c r="C6" s="54"/>
      <c r="D6" s="55"/>
      <c r="E6" s="58"/>
      <c r="F6" s="52"/>
      <c r="G6" s="59" t="s">
        <v>29</v>
      </c>
    </row>
    <row r="7" spans="1:7">
      <c r="A7" s="52"/>
      <c r="B7" s="53" t="s">
        <v>175</v>
      </c>
      <c r="C7" s="54"/>
      <c r="D7" s="55"/>
      <c r="E7" s="58"/>
      <c r="F7" s="52"/>
      <c r="G7" s="27" t="s">
        <v>28</v>
      </c>
    </row>
    <row r="8" spans="1:7">
      <c r="A8" s="52"/>
      <c r="B8" s="53" t="s">
        <v>174</v>
      </c>
      <c r="C8" s="54"/>
      <c r="D8" s="55"/>
      <c r="E8" s="58"/>
      <c r="F8" s="52"/>
      <c r="G8" s="59" t="s">
        <v>30</v>
      </c>
    </row>
    <row r="9" spans="1:7">
      <c r="A9" s="52"/>
      <c r="B9" s="53"/>
      <c r="C9" s="54"/>
      <c r="D9" s="55"/>
      <c r="E9" s="58"/>
      <c r="F9" s="52"/>
      <c r="G9" s="59"/>
    </row>
    <row r="10" spans="1:7">
      <c r="A10" s="52"/>
      <c r="B10" s="53"/>
      <c r="C10" s="54"/>
      <c r="D10" s="55"/>
      <c r="E10" s="58"/>
      <c r="F10" s="52"/>
      <c r="G10" s="60" t="s">
        <v>162</v>
      </c>
    </row>
    <row r="11" spans="1:7">
      <c r="A11" s="52"/>
      <c r="B11" s="53"/>
      <c r="C11" s="54"/>
      <c r="D11" s="55"/>
      <c r="E11" s="58"/>
      <c r="F11" s="52"/>
      <c r="G11" s="61" t="s">
        <v>31</v>
      </c>
    </row>
    <row r="12" spans="1:7">
      <c r="A12" s="52"/>
      <c r="B12" s="53"/>
      <c r="C12" s="54"/>
      <c r="D12" s="55"/>
      <c r="E12" s="58"/>
      <c r="F12" s="52"/>
      <c r="G12" s="59" t="s">
        <v>32</v>
      </c>
    </row>
    <row r="13" spans="1:7">
      <c r="A13" s="52"/>
      <c r="B13" s="53"/>
      <c r="C13" s="54"/>
      <c r="D13" s="55"/>
      <c r="E13" s="58"/>
      <c r="F13" s="52"/>
      <c r="G13" s="61" t="s">
        <v>33</v>
      </c>
    </row>
    <row r="14" spans="1:7">
      <c r="A14" s="52"/>
      <c r="B14" s="53"/>
      <c r="C14" s="54"/>
      <c r="D14" s="55"/>
      <c r="E14" s="58"/>
      <c r="F14" s="52"/>
      <c r="G14" s="2"/>
    </row>
    <row r="15" spans="1:7" ht="41">
      <c r="A15" s="52"/>
      <c r="B15" s="53"/>
      <c r="C15" s="54"/>
      <c r="D15" s="55"/>
      <c r="E15" s="58"/>
      <c r="F15" s="52"/>
      <c r="G15" s="69" t="s">
        <v>164</v>
      </c>
    </row>
    <row r="16" spans="1:7">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16000</v>
      </c>
      <c r="F23" s="62"/>
      <c r="G23" s="2"/>
    </row>
    <row r="24" spans="1:7" ht="24.5">
      <c r="A24" s="62"/>
      <c r="B24" s="63" t="s">
        <v>34</v>
      </c>
      <c r="C24" s="54"/>
      <c r="D24" s="62"/>
      <c r="E24" s="65">
        <f>E23*0%</f>
        <v>0</v>
      </c>
      <c r="F24" s="62"/>
      <c r="G24" s="2"/>
    </row>
    <row r="25" spans="1:7" ht="24.5">
      <c r="A25" s="62"/>
      <c r="B25" s="66" t="s">
        <v>35</v>
      </c>
      <c r="C25" s="62"/>
      <c r="D25" s="62"/>
      <c r="E25" s="67">
        <f>SUM(E23:E24)</f>
        <v>16000</v>
      </c>
      <c r="F25" s="62"/>
      <c r="G25" s="62"/>
    </row>
    <row r="26" spans="1:7" ht="24.5">
      <c r="A26" s="62"/>
      <c r="B26" s="66"/>
      <c r="C26" s="62"/>
      <c r="D26" s="62"/>
      <c r="E26" s="67"/>
      <c r="F26" s="62"/>
      <c r="G26" s="62"/>
    </row>
    <row r="27" spans="1:7" ht="33">
      <c r="A27" s="62"/>
      <c r="B27" s="68" t="s">
        <v>36</v>
      </c>
      <c r="C27" s="197" t="str">
        <f>BAHTTEXT(E25)</f>
        <v>หนึ่งหมื่นหกพันบาทถ้วน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3631-9B75-4E6F-A4E7-78709DCCAA1E}">
  <sheetPr>
    <pageSetUpPr fitToPage="1"/>
  </sheetPr>
  <dimension ref="A2:G34"/>
  <sheetViews>
    <sheetView topLeftCell="A10" zoomScale="130" zoomScaleNormal="130" workbookViewId="0">
      <selection activeCell="L15" sqref="L15"/>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20"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3">
        <v>1</v>
      </c>
      <c r="B5" s="30" t="s">
        <v>217</v>
      </c>
      <c r="C5" s="34">
        <v>32</v>
      </c>
      <c r="D5" s="35">
        <v>450</v>
      </c>
      <c r="E5" s="36">
        <f>C5*D5</f>
        <v>14400</v>
      </c>
      <c r="F5" s="73">
        <v>30</v>
      </c>
      <c r="G5" s="74" t="s">
        <v>161</v>
      </c>
    </row>
    <row r="6" spans="1:7">
      <c r="A6" s="3">
        <v>2</v>
      </c>
      <c r="B6" s="30" t="s">
        <v>218</v>
      </c>
      <c r="C6" s="34">
        <v>2</v>
      </c>
      <c r="D6" s="35">
        <v>4200</v>
      </c>
      <c r="E6" s="36">
        <f>C6*D6</f>
        <v>8400</v>
      </c>
      <c r="F6" s="73">
        <v>30</v>
      </c>
      <c r="G6" s="75" t="s">
        <v>32</v>
      </c>
    </row>
    <row r="7" spans="1:7">
      <c r="A7" s="3">
        <v>3</v>
      </c>
      <c r="B7" s="30" t="s">
        <v>219</v>
      </c>
      <c r="C7" s="34">
        <v>200</v>
      </c>
      <c r="D7" s="35">
        <v>12</v>
      </c>
      <c r="E7" s="36">
        <f t="shared" ref="E7:E18" si="0">C7*D7</f>
        <v>2400</v>
      </c>
      <c r="F7" s="73">
        <v>30</v>
      </c>
      <c r="G7" s="27" t="s">
        <v>28</v>
      </c>
    </row>
    <row r="8" spans="1:7">
      <c r="A8" s="3">
        <v>4</v>
      </c>
      <c r="B8" s="72" t="s">
        <v>220</v>
      </c>
      <c r="C8" s="76">
        <v>10</v>
      </c>
      <c r="D8" s="77">
        <v>250</v>
      </c>
      <c r="E8" s="36">
        <f t="shared" si="0"/>
        <v>2500</v>
      </c>
      <c r="F8" s="73">
        <v>30</v>
      </c>
      <c r="G8" s="75" t="s">
        <v>30</v>
      </c>
    </row>
    <row r="9" spans="1:7">
      <c r="A9" s="3">
        <v>5</v>
      </c>
      <c r="B9" s="72" t="s">
        <v>221</v>
      </c>
      <c r="C9" s="76">
        <v>15</v>
      </c>
      <c r="D9" s="77">
        <v>55</v>
      </c>
      <c r="E9" s="36">
        <f t="shared" si="0"/>
        <v>825</v>
      </c>
      <c r="F9" s="73">
        <v>30</v>
      </c>
      <c r="G9" s="75"/>
    </row>
    <row r="10" spans="1:7">
      <c r="A10" s="3">
        <v>6</v>
      </c>
      <c r="B10" s="72" t="s">
        <v>222</v>
      </c>
      <c r="C10" s="76">
        <v>20</v>
      </c>
      <c r="D10" s="77">
        <v>5</v>
      </c>
      <c r="E10" s="36">
        <f t="shared" si="0"/>
        <v>100</v>
      </c>
      <c r="F10" s="73">
        <v>30</v>
      </c>
      <c r="G10" s="2"/>
    </row>
    <row r="11" spans="1:7">
      <c r="A11" s="3">
        <v>7</v>
      </c>
      <c r="B11" s="72" t="s">
        <v>223</v>
      </c>
      <c r="C11" s="76">
        <v>10</v>
      </c>
      <c r="D11" s="77">
        <v>10</v>
      </c>
      <c r="E11" s="36">
        <f t="shared" si="0"/>
        <v>100</v>
      </c>
      <c r="F11" s="73">
        <v>30</v>
      </c>
      <c r="G11" s="60" t="s">
        <v>162</v>
      </c>
    </row>
    <row r="12" spans="1:7">
      <c r="A12" s="3">
        <v>8</v>
      </c>
      <c r="B12" s="72" t="s">
        <v>224</v>
      </c>
      <c r="C12" s="76">
        <v>10</v>
      </c>
      <c r="D12" s="77">
        <v>120</v>
      </c>
      <c r="E12" s="36">
        <f t="shared" si="0"/>
        <v>1200</v>
      </c>
      <c r="F12" s="73">
        <v>30</v>
      </c>
      <c r="G12" s="61" t="s">
        <v>31</v>
      </c>
    </row>
    <row r="13" spans="1:7">
      <c r="A13" s="3">
        <v>9</v>
      </c>
      <c r="B13" s="72" t="s">
        <v>225</v>
      </c>
      <c r="C13" s="76">
        <v>1</v>
      </c>
      <c r="D13" s="77">
        <v>600</v>
      </c>
      <c r="E13" s="36">
        <f t="shared" si="0"/>
        <v>600</v>
      </c>
      <c r="F13" s="73">
        <v>30</v>
      </c>
      <c r="G13" s="61" t="s">
        <v>33</v>
      </c>
    </row>
    <row r="14" spans="1:7">
      <c r="A14" s="3">
        <v>10</v>
      </c>
      <c r="B14" s="72" t="s">
        <v>226</v>
      </c>
      <c r="C14" s="76">
        <v>300</v>
      </c>
      <c r="D14" s="77">
        <v>0.4</v>
      </c>
      <c r="E14" s="36">
        <f t="shared" si="0"/>
        <v>120</v>
      </c>
      <c r="F14" s="73">
        <v>30</v>
      </c>
      <c r="G14" s="75" t="s">
        <v>29</v>
      </c>
    </row>
    <row r="15" spans="1:7">
      <c r="A15" s="3">
        <v>11</v>
      </c>
      <c r="B15" s="72" t="s">
        <v>227</v>
      </c>
      <c r="C15" s="76">
        <v>2</v>
      </c>
      <c r="D15" s="77">
        <v>2500</v>
      </c>
      <c r="E15" s="36">
        <f t="shared" si="0"/>
        <v>5000</v>
      </c>
      <c r="F15" s="73">
        <v>30</v>
      </c>
      <c r="G15" s="2"/>
    </row>
    <row r="16" spans="1:7" ht="23.5">
      <c r="A16" s="3">
        <v>12</v>
      </c>
      <c r="B16" s="30" t="s">
        <v>228</v>
      </c>
      <c r="C16" s="76">
        <v>2</v>
      </c>
      <c r="D16" s="77">
        <v>1500</v>
      </c>
      <c r="E16" s="36">
        <f t="shared" si="0"/>
        <v>3000</v>
      </c>
      <c r="F16" s="73">
        <v>30</v>
      </c>
      <c r="G16" s="2"/>
    </row>
    <row r="17" spans="1:7" ht="23.5">
      <c r="A17" s="3">
        <v>13</v>
      </c>
      <c r="B17" s="30" t="s">
        <v>229</v>
      </c>
      <c r="C17" s="76">
        <v>2</v>
      </c>
      <c r="D17" s="77">
        <v>1500</v>
      </c>
      <c r="E17" s="36">
        <f t="shared" si="0"/>
        <v>3000</v>
      </c>
      <c r="F17" s="73">
        <v>30</v>
      </c>
      <c r="G17" s="2"/>
    </row>
    <row r="18" spans="1:7" ht="23.5">
      <c r="A18" s="3">
        <v>14</v>
      </c>
      <c r="B18" s="30" t="s">
        <v>230</v>
      </c>
      <c r="C18" s="76">
        <v>2</v>
      </c>
      <c r="D18" s="77">
        <v>1500</v>
      </c>
      <c r="E18" s="36">
        <f t="shared" si="0"/>
        <v>3000</v>
      </c>
      <c r="F18" s="73">
        <v>30</v>
      </c>
      <c r="G18" s="2"/>
    </row>
    <row r="19" spans="1:7">
      <c r="A19" s="3"/>
      <c r="B19" s="72"/>
      <c r="C19" s="76"/>
      <c r="D19" s="77"/>
      <c r="E19" s="36"/>
      <c r="F19" s="73"/>
      <c r="G19" s="2"/>
    </row>
    <row r="20" spans="1:7" hidden="1">
      <c r="A20" s="52"/>
      <c r="B20" s="53"/>
      <c r="C20" s="54"/>
      <c r="D20" s="55"/>
      <c r="E20" s="58"/>
      <c r="F20" s="52"/>
      <c r="G20" s="2"/>
    </row>
    <row r="21" spans="1:7" ht="41" hidden="1">
      <c r="A21" s="52"/>
      <c r="B21" s="53"/>
      <c r="C21" s="54"/>
      <c r="D21" s="55"/>
      <c r="E21" s="58"/>
      <c r="F21" s="52"/>
      <c r="G21" s="69" t="s">
        <v>164</v>
      </c>
    </row>
    <row r="22" spans="1:7" hidden="1">
      <c r="A22" s="52"/>
      <c r="B22" s="53"/>
      <c r="C22" s="54"/>
      <c r="D22" s="55"/>
      <c r="E22" s="58"/>
      <c r="F22" s="52"/>
      <c r="G22" s="59"/>
    </row>
    <row r="23" spans="1:7" hidden="1">
      <c r="A23" s="52"/>
      <c r="B23" s="53"/>
      <c r="C23" s="54"/>
      <c r="D23" s="55"/>
      <c r="E23" s="58"/>
      <c r="F23" s="52"/>
      <c r="G23" s="59"/>
    </row>
    <row r="24" spans="1:7" hidden="1">
      <c r="A24" s="52"/>
      <c r="B24" s="53"/>
      <c r="C24" s="54"/>
      <c r="D24" s="55"/>
      <c r="E24" s="58"/>
      <c r="F24" s="52"/>
      <c r="G24" s="27"/>
    </row>
    <row r="25" spans="1:7" hidden="1">
      <c r="A25" s="52"/>
      <c r="B25" s="53"/>
      <c r="C25" s="54"/>
      <c r="D25" s="55"/>
      <c r="E25" s="58"/>
      <c r="F25" s="52"/>
      <c r="G25" s="27"/>
    </row>
    <row r="26" spans="1:7" hidden="1">
      <c r="A26" s="52"/>
      <c r="B26" s="53"/>
      <c r="C26" s="54"/>
      <c r="D26" s="55"/>
      <c r="E26" s="58"/>
      <c r="F26" s="52"/>
      <c r="G26" s="28" t="s">
        <v>165</v>
      </c>
    </row>
    <row r="27" spans="1:7" hidden="1">
      <c r="A27" s="52"/>
      <c r="B27" s="53"/>
      <c r="C27" s="54"/>
      <c r="D27" s="55"/>
      <c r="E27" s="58"/>
      <c r="F27" s="52"/>
      <c r="G27" s="70" t="s">
        <v>166</v>
      </c>
    </row>
    <row r="28" spans="1:7" hidden="1">
      <c r="A28" s="52"/>
      <c r="B28" s="53"/>
      <c r="C28" s="54"/>
      <c r="D28" s="55"/>
      <c r="E28" s="58"/>
      <c r="F28" s="52"/>
      <c r="G28" s="70" t="s">
        <v>167</v>
      </c>
    </row>
    <row r="29" spans="1:7" hidden="1">
      <c r="A29" s="52"/>
      <c r="B29" s="53"/>
      <c r="C29" s="54"/>
      <c r="D29" s="55"/>
      <c r="E29" s="58"/>
      <c r="F29" s="52"/>
      <c r="G29" s="70" t="s">
        <v>168</v>
      </c>
    </row>
    <row r="30" spans="1:7" ht="23">
      <c r="A30" s="62"/>
      <c r="B30" s="63" t="s">
        <v>6</v>
      </c>
      <c r="C30" s="54"/>
      <c r="D30" s="62"/>
      <c r="E30" s="64">
        <f>SUM(E5:E29)</f>
        <v>44645</v>
      </c>
      <c r="F30" s="62"/>
      <c r="G30" s="2"/>
    </row>
    <row r="31" spans="1:7" ht="24.5">
      <c r="A31" s="62"/>
      <c r="B31" s="63" t="s">
        <v>34</v>
      </c>
      <c r="C31" s="54"/>
      <c r="D31" s="62"/>
      <c r="E31" s="23">
        <f>E30*7%</f>
        <v>3125.15</v>
      </c>
      <c r="F31" s="62"/>
      <c r="G31" s="2"/>
    </row>
    <row r="32" spans="1:7" ht="24.5">
      <c r="A32" s="62"/>
      <c r="B32" s="66" t="s">
        <v>35</v>
      </c>
      <c r="C32" s="62"/>
      <c r="D32" s="62"/>
      <c r="E32" s="67">
        <f>SUM(E30:E31)</f>
        <v>47770.15</v>
      </c>
      <c r="F32" s="62"/>
      <c r="G32" s="62"/>
    </row>
    <row r="33" spans="1:7" ht="24.5">
      <c r="A33" s="62"/>
      <c r="B33" s="66"/>
      <c r="C33" s="62"/>
      <c r="D33" s="62"/>
      <c r="E33" s="67"/>
      <c r="F33" s="62"/>
      <c r="G33" s="62"/>
    </row>
    <row r="34" spans="1:7" ht="33">
      <c r="A34" s="62"/>
      <c r="B34" s="68" t="s">
        <v>36</v>
      </c>
      <c r="C34" s="197" t="str">
        <f>BAHTTEXT(E32)</f>
        <v>สี่หมื่นเจ็ดพันเจ็ดร้อยเจ็ดสิบบาทสิบห้าสตางค์</v>
      </c>
      <c r="D34" s="197"/>
      <c r="E34" s="197"/>
      <c r="F34" s="197"/>
      <c r="G34" s="62"/>
    </row>
  </sheetData>
  <mergeCells count="7">
    <mergeCell ref="G2:G4"/>
    <mergeCell ref="C34:F34"/>
    <mergeCell ref="A2:A4"/>
    <mergeCell ref="B2:B4"/>
    <mergeCell ref="C2:C4"/>
    <mergeCell ref="D2:E2"/>
    <mergeCell ref="F2:F4"/>
  </mergeCells>
  <pageMargins left="0.7" right="0.7" top="0.75" bottom="0.75" header="0.3" footer="0.3"/>
  <pageSetup paperSize="9" scale="57" fitToHeight="0"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F2587-89B9-40D1-99DE-4C30B31D1070}">
  <sheetPr>
    <pageSetUpPr fitToPage="1"/>
  </sheetPr>
  <dimension ref="A2:G40"/>
  <sheetViews>
    <sheetView zoomScale="130" zoomScaleNormal="130" workbookViewId="0">
      <selection activeCell="B5" sqref="B5:B7"/>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20"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ht="23.5">
      <c r="A5" s="3">
        <v>1</v>
      </c>
      <c r="B5" s="30" t="s">
        <v>207</v>
      </c>
      <c r="C5" s="34">
        <v>1</v>
      </c>
      <c r="D5" s="35">
        <v>2100</v>
      </c>
      <c r="E5" s="36">
        <f>C5*D5</f>
        <v>2100</v>
      </c>
      <c r="F5" s="73">
        <v>30</v>
      </c>
      <c r="G5" s="74" t="s">
        <v>161</v>
      </c>
    </row>
    <row r="6" spans="1:7" ht="23.5">
      <c r="A6" s="3">
        <v>2</v>
      </c>
      <c r="B6" s="30" t="s">
        <v>208</v>
      </c>
      <c r="C6" s="34">
        <v>1</v>
      </c>
      <c r="D6" s="35">
        <v>2100</v>
      </c>
      <c r="E6" s="36">
        <f>C6*D6</f>
        <v>2100</v>
      </c>
      <c r="F6" s="73">
        <v>30</v>
      </c>
      <c r="G6" s="75" t="s">
        <v>32</v>
      </c>
    </row>
    <row r="7" spans="1:7" ht="23.5">
      <c r="A7" s="3">
        <v>3</v>
      </c>
      <c r="B7" s="30" t="s">
        <v>209</v>
      </c>
      <c r="C7" s="34">
        <v>1</v>
      </c>
      <c r="D7" s="35">
        <v>700</v>
      </c>
      <c r="E7" s="36">
        <f t="shared" ref="E7:E21" si="0">C7*D7</f>
        <v>700</v>
      </c>
      <c r="F7" s="73">
        <v>30</v>
      </c>
      <c r="G7" s="27" t="s">
        <v>28</v>
      </c>
    </row>
    <row r="8" spans="1:7">
      <c r="A8" s="3">
        <v>4</v>
      </c>
      <c r="B8" s="72" t="s">
        <v>196</v>
      </c>
      <c r="C8" s="76">
        <v>75</v>
      </c>
      <c r="D8" s="77">
        <v>140</v>
      </c>
      <c r="E8" s="36">
        <f t="shared" si="0"/>
        <v>10500</v>
      </c>
      <c r="F8" s="73">
        <v>30</v>
      </c>
      <c r="G8" s="75" t="s">
        <v>30</v>
      </c>
    </row>
    <row r="9" spans="1:7">
      <c r="A9" s="3">
        <v>5</v>
      </c>
      <c r="B9" s="72" t="s">
        <v>197</v>
      </c>
      <c r="C9" s="76">
        <v>75</v>
      </c>
      <c r="D9" s="77">
        <v>25</v>
      </c>
      <c r="E9" s="36">
        <f t="shared" si="0"/>
        <v>1875</v>
      </c>
      <c r="F9" s="73">
        <v>30</v>
      </c>
      <c r="G9" s="75"/>
    </row>
    <row r="10" spans="1:7">
      <c r="A10" s="3">
        <v>6</v>
      </c>
      <c r="B10" s="72" t="s">
        <v>198</v>
      </c>
      <c r="C10" s="76">
        <v>75</v>
      </c>
      <c r="D10" s="77">
        <v>35</v>
      </c>
      <c r="E10" s="36">
        <f t="shared" si="0"/>
        <v>2625</v>
      </c>
      <c r="F10" s="73">
        <v>30</v>
      </c>
      <c r="G10" s="2"/>
    </row>
    <row r="11" spans="1:7">
      <c r="A11" s="3">
        <v>7</v>
      </c>
      <c r="B11" s="72" t="s">
        <v>213</v>
      </c>
      <c r="C11" s="76">
        <v>6</v>
      </c>
      <c r="D11" s="77">
        <v>550</v>
      </c>
      <c r="E11" s="36">
        <f t="shared" si="0"/>
        <v>3300</v>
      </c>
      <c r="F11" s="73">
        <v>30</v>
      </c>
      <c r="G11" s="60" t="s">
        <v>162</v>
      </c>
    </row>
    <row r="12" spans="1:7">
      <c r="A12" s="3">
        <v>8</v>
      </c>
      <c r="B12" s="72" t="s">
        <v>199</v>
      </c>
      <c r="C12" s="76">
        <v>3</v>
      </c>
      <c r="D12" s="77">
        <v>250</v>
      </c>
      <c r="E12" s="36">
        <f t="shared" si="0"/>
        <v>750</v>
      </c>
      <c r="F12" s="73">
        <v>30</v>
      </c>
      <c r="G12" s="61" t="s">
        <v>31</v>
      </c>
    </row>
    <row r="13" spans="1:7">
      <c r="A13" s="3">
        <v>9</v>
      </c>
      <c r="B13" s="72" t="s">
        <v>200</v>
      </c>
      <c r="C13" s="76">
        <v>30</v>
      </c>
      <c r="D13" s="77">
        <v>55</v>
      </c>
      <c r="E13" s="36">
        <f t="shared" si="0"/>
        <v>1650</v>
      </c>
      <c r="F13" s="73">
        <v>30</v>
      </c>
      <c r="G13" s="61" t="s">
        <v>33</v>
      </c>
    </row>
    <row r="14" spans="1:7">
      <c r="A14" s="3">
        <v>10</v>
      </c>
      <c r="B14" s="72" t="s">
        <v>201</v>
      </c>
      <c r="C14" s="76">
        <v>90</v>
      </c>
      <c r="D14" s="77">
        <v>6</v>
      </c>
      <c r="E14" s="36">
        <f t="shared" si="0"/>
        <v>540</v>
      </c>
      <c r="F14" s="73">
        <v>30</v>
      </c>
      <c r="G14" s="75" t="s">
        <v>29</v>
      </c>
    </row>
    <row r="15" spans="1:7">
      <c r="A15" s="3">
        <v>11</v>
      </c>
      <c r="B15" s="72" t="s">
        <v>202</v>
      </c>
      <c r="C15" s="76">
        <v>1</v>
      </c>
      <c r="D15" s="77">
        <v>500</v>
      </c>
      <c r="E15" s="36">
        <f t="shared" si="0"/>
        <v>500</v>
      </c>
      <c r="F15" s="73">
        <v>30</v>
      </c>
      <c r="G15" s="75"/>
    </row>
    <row r="16" spans="1:7">
      <c r="A16" s="3">
        <v>12</v>
      </c>
      <c r="B16" s="72" t="s">
        <v>203</v>
      </c>
      <c r="C16" s="76">
        <v>12</v>
      </c>
      <c r="D16" s="77">
        <v>25</v>
      </c>
      <c r="E16" s="36">
        <f t="shared" si="0"/>
        <v>300</v>
      </c>
      <c r="F16" s="73">
        <v>30</v>
      </c>
      <c r="G16" s="75"/>
    </row>
    <row r="17" spans="1:7">
      <c r="A17" s="3">
        <v>13</v>
      </c>
      <c r="B17" s="72" t="s">
        <v>204</v>
      </c>
      <c r="C17" s="76">
        <v>5</v>
      </c>
      <c r="D17" s="77">
        <v>350</v>
      </c>
      <c r="E17" s="36">
        <f t="shared" si="0"/>
        <v>1750</v>
      </c>
      <c r="F17" s="73">
        <v>30</v>
      </c>
      <c r="G17" s="2"/>
    </row>
    <row r="18" spans="1:7">
      <c r="A18" s="3">
        <v>14</v>
      </c>
      <c r="B18" s="72" t="s">
        <v>205</v>
      </c>
      <c r="C18" s="76">
        <v>90</v>
      </c>
      <c r="D18" s="77">
        <v>20</v>
      </c>
      <c r="E18" s="36">
        <f t="shared" si="0"/>
        <v>1800</v>
      </c>
      <c r="F18" s="73">
        <v>30</v>
      </c>
      <c r="G18" s="2"/>
    </row>
    <row r="19" spans="1:7">
      <c r="A19" s="3">
        <v>15</v>
      </c>
      <c r="B19" s="72" t="s">
        <v>206</v>
      </c>
      <c r="C19" s="76">
        <v>40</v>
      </c>
      <c r="D19" s="77">
        <v>25</v>
      </c>
      <c r="E19" s="36">
        <f t="shared" si="0"/>
        <v>1000</v>
      </c>
      <c r="F19" s="73">
        <v>30</v>
      </c>
      <c r="G19" s="2"/>
    </row>
    <row r="20" spans="1:7">
      <c r="A20" s="3">
        <v>16</v>
      </c>
      <c r="B20" s="72" t="s">
        <v>210</v>
      </c>
      <c r="C20" s="76">
        <v>2</v>
      </c>
      <c r="D20" s="77">
        <v>600</v>
      </c>
      <c r="E20" s="36">
        <f t="shared" si="0"/>
        <v>1200</v>
      </c>
      <c r="F20" s="73">
        <v>30</v>
      </c>
      <c r="G20" s="2"/>
    </row>
    <row r="21" spans="1:7">
      <c r="A21" s="3">
        <v>17</v>
      </c>
      <c r="B21" s="72" t="s">
        <v>211</v>
      </c>
      <c r="C21" s="76">
        <v>10</v>
      </c>
      <c r="D21" s="77">
        <v>1500</v>
      </c>
      <c r="E21" s="36">
        <f t="shared" si="0"/>
        <v>15000</v>
      </c>
      <c r="F21" s="73">
        <v>30</v>
      </c>
      <c r="G21" s="2"/>
    </row>
    <row r="22" spans="1:7">
      <c r="A22" s="3">
        <v>18</v>
      </c>
      <c r="B22" s="72" t="s">
        <v>212</v>
      </c>
      <c r="C22" s="76">
        <v>10</v>
      </c>
      <c r="D22" s="77">
        <v>1000</v>
      </c>
      <c r="E22" s="36">
        <f t="shared" ref="E22:E25" si="1">C22*D22</f>
        <v>10000</v>
      </c>
      <c r="F22" s="73">
        <v>30</v>
      </c>
      <c r="G22" s="2"/>
    </row>
    <row r="23" spans="1:7">
      <c r="A23" s="3">
        <v>19</v>
      </c>
      <c r="B23" s="72" t="s">
        <v>214</v>
      </c>
      <c r="C23" s="76">
        <v>10</v>
      </c>
      <c r="D23" s="77">
        <v>1500</v>
      </c>
      <c r="E23" s="36">
        <f t="shared" si="1"/>
        <v>15000</v>
      </c>
      <c r="F23" s="73">
        <v>30</v>
      </c>
      <c r="G23" s="2"/>
    </row>
    <row r="24" spans="1:7">
      <c r="A24" s="3">
        <v>20</v>
      </c>
      <c r="B24" s="72" t="s">
        <v>215</v>
      </c>
      <c r="C24" s="76">
        <v>1</v>
      </c>
      <c r="D24" s="77">
        <v>4500</v>
      </c>
      <c r="E24" s="36">
        <f t="shared" si="1"/>
        <v>4500</v>
      </c>
      <c r="F24" s="73">
        <v>30</v>
      </c>
      <c r="G24" s="2"/>
    </row>
    <row r="25" spans="1:7">
      <c r="A25" s="3">
        <v>21</v>
      </c>
      <c r="B25" s="72" t="s">
        <v>216</v>
      </c>
      <c r="C25" s="76">
        <v>10</v>
      </c>
      <c r="D25" s="77">
        <v>400</v>
      </c>
      <c r="E25" s="36">
        <f t="shared" si="1"/>
        <v>4000</v>
      </c>
      <c r="F25" s="73">
        <v>30</v>
      </c>
      <c r="G25" s="2"/>
    </row>
    <row r="26" spans="1:7" hidden="1">
      <c r="A26" s="52"/>
      <c r="B26" s="53"/>
      <c r="C26" s="54"/>
      <c r="D26" s="55"/>
      <c r="E26" s="58"/>
      <c r="F26" s="52"/>
      <c r="G26" s="2"/>
    </row>
    <row r="27" spans="1:7" ht="41" hidden="1">
      <c r="A27" s="52"/>
      <c r="B27" s="53"/>
      <c r="C27" s="54"/>
      <c r="D27" s="55"/>
      <c r="E27" s="58"/>
      <c r="F27" s="52"/>
      <c r="G27" s="69" t="s">
        <v>164</v>
      </c>
    </row>
    <row r="28" spans="1:7" hidden="1">
      <c r="A28" s="52"/>
      <c r="B28" s="53"/>
      <c r="C28" s="54"/>
      <c r="D28" s="55"/>
      <c r="E28" s="58"/>
      <c r="F28" s="52"/>
      <c r="G28" s="59"/>
    </row>
    <row r="29" spans="1:7" hidden="1">
      <c r="A29" s="52"/>
      <c r="B29" s="53"/>
      <c r="C29" s="54"/>
      <c r="D29" s="55"/>
      <c r="E29" s="58"/>
      <c r="F29" s="52"/>
      <c r="G29" s="59"/>
    </row>
    <row r="30" spans="1:7" hidden="1">
      <c r="A30" s="52"/>
      <c r="B30" s="53"/>
      <c r="C30" s="54"/>
      <c r="D30" s="55"/>
      <c r="E30" s="58"/>
      <c r="F30" s="52"/>
      <c r="G30" s="27"/>
    </row>
    <row r="31" spans="1:7" hidden="1">
      <c r="A31" s="52"/>
      <c r="B31" s="53"/>
      <c r="C31" s="54"/>
      <c r="D31" s="55"/>
      <c r="E31" s="58"/>
      <c r="F31" s="52"/>
      <c r="G31" s="27"/>
    </row>
    <row r="32" spans="1:7" hidden="1">
      <c r="A32" s="52"/>
      <c r="B32" s="53"/>
      <c r="C32" s="54"/>
      <c r="D32" s="55"/>
      <c r="E32" s="58"/>
      <c r="F32" s="52"/>
      <c r="G32" s="28" t="s">
        <v>165</v>
      </c>
    </row>
    <row r="33" spans="1:7" hidden="1">
      <c r="A33" s="52"/>
      <c r="B33" s="53"/>
      <c r="C33" s="54"/>
      <c r="D33" s="55"/>
      <c r="E33" s="58"/>
      <c r="F33" s="52"/>
      <c r="G33" s="70" t="s">
        <v>166</v>
      </c>
    </row>
    <row r="34" spans="1:7" hidden="1">
      <c r="A34" s="52"/>
      <c r="B34" s="53"/>
      <c r="C34" s="54"/>
      <c r="D34" s="55"/>
      <c r="E34" s="58"/>
      <c r="F34" s="52"/>
      <c r="G34" s="70" t="s">
        <v>167</v>
      </c>
    </row>
    <row r="35" spans="1:7" hidden="1">
      <c r="A35" s="52"/>
      <c r="B35" s="53"/>
      <c r="C35" s="54"/>
      <c r="D35" s="55"/>
      <c r="E35" s="58"/>
      <c r="F35" s="52"/>
      <c r="G35" s="70" t="s">
        <v>168</v>
      </c>
    </row>
    <row r="36" spans="1:7" ht="23">
      <c r="A36" s="62"/>
      <c r="B36" s="63" t="s">
        <v>6</v>
      </c>
      <c r="C36" s="54"/>
      <c r="D36" s="62"/>
      <c r="E36" s="64">
        <f>SUM(E5:E35)</f>
        <v>81190</v>
      </c>
      <c r="F36" s="62"/>
      <c r="G36" s="2"/>
    </row>
    <row r="37" spans="1:7" ht="24.5">
      <c r="A37" s="62"/>
      <c r="B37" s="63" t="s">
        <v>34</v>
      </c>
      <c r="C37" s="54"/>
      <c r="D37" s="62"/>
      <c r="E37" s="23">
        <f>E36*7%</f>
        <v>5683.3</v>
      </c>
      <c r="F37" s="62"/>
      <c r="G37" s="2"/>
    </row>
    <row r="38" spans="1:7" ht="24.5">
      <c r="A38" s="62"/>
      <c r="B38" s="66" t="s">
        <v>35</v>
      </c>
      <c r="C38" s="62"/>
      <c r="D38" s="62"/>
      <c r="E38" s="67">
        <f>SUM(E36:E37)</f>
        <v>86873.3</v>
      </c>
      <c r="F38" s="62"/>
      <c r="G38" s="62"/>
    </row>
    <row r="39" spans="1:7" ht="24.5">
      <c r="A39" s="62"/>
      <c r="B39" s="66"/>
      <c r="C39" s="62"/>
      <c r="D39" s="62"/>
      <c r="E39" s="67"/>
      <c r="F39" s="62"/>
      <c r="G39" s="62"/>
    </row>
    <row r="40" spans="1:7" ht="33">
      <c r="A40" s="62"/>
      <c r="B40" s="68" t="s">
        <v>36</v>
      </c>
      <c r="C40" s="197" t="str">
        <f>BAHTTEXT(E38)</f>
        <v>แปดหมื่นหกพันแปดร้อยเจ็ดสิบสามบาทสามสิบสตางค์</v>
      </c>
      <c r="D40" s="197"/>
      <c r="E40" s="197"/>
      <c r="F40" s="197"/>
      <c r="G40" s="62"/>
    </row>
  </sheetData>
  <mergeCells count="7">
    <mergeCell ref="G2:G4"/>
    <mergeCell ref="C40:F40"/>
    <mergeCell ref="A2:A4"/>
    <mergeCell ref="B2:B4"/>
    <mergeCell ref="C2:C4"/>
    <mergeCell ref="D2:E2"/>
    <mergeCell ref="F2:F4"/>
  </mergeCells>
  <pageMargins left="0.7" right="0.7" top="0.75" bottom="0.75" header="0.3" footer="0.3"/>
  <pageSetup paperSize="9" scale="57" fitToHeight="0"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5BE0-4CF4-447F-9A29-C63C876E92AD}">
  <sheetPr>
    <pageSetUpPr fitToPage="1"/>
  </sheetPr>
  <dimension ref="A2:G38"/>
  <sheetViews>
    <sheetView topLeftCell="A4" zoomScale="130" zoomScaleNormal="130" workbookViewId="0">
      <selection activeCell="G2" sqref="A2:G38"/>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20.2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3">
        <v>1</v>
      </c>
      <c r="B5" s="30" t="s">
        <v>177</v>
      </c>
      <c r="C5" s="34">
        <v>6</v>
      </c>
      <c r="D5" s="35">
        <v>330</v>
      </c>
      <c r="E5" s="36">
        <f>C5*D5</f>
        <v>1980</v>
      </c>
      <c r="F5" s="52">
        <v>30</v>
      </c>
      <c r="G5" s="57" t="s">
        <v>161</v>
      </c>
    </row>
    <row r="6" spans="1:7">
      <c r="A6" s="10"/>
      <c r="B6" s="30" t="s">
        <v>178</v>
      </c>
      <c r="C6" s="12"/>
      <c r="D6" s="35"/>
      <c r="E6" s="36"/>
      <c r="F6" s="52"/>
      <c r="G6" s="27" t="s">
        <v>28</v>
      </c>
    </row>
    <row r="7" spans="1:7">
      <c r="A7" s="10">
        <v>2</v>
      </c>
      <c r="B7" s="30" t="s">
        <v>179</v>
      </c>
      <c r="C7" s="12">
        <v>1</v>
      </c>
      <c r="D7" s="13">
        <v>90</v>
      </c>
      <c r="E7" s="36">
        <f t="shared" ref="E7:E23" si="0">C7*D7</f>
        <v>90</v>
      </c>
      <c r="F7" s="52">
        <v>30</v>
      </c>
      <c r="G7" s="59" t="s">
        <v>30</v>
      </c>
    </row>
    <row r="8" spans="1:7">
      <c r="A8" s="52">
        <v>3</v>
      </c>
      <c r="B8" s="53" t="s">
        <v>180</v>
      </c>
      <c r="C8" s="54">
        <v>5</v>
      </c>
      <c r="D8" s="55">
        <v>280</v>
      </c>
      <c r="E8" s="36">
        <f t="shared" si="0"/>
        <v>1400</v>
      </c>
      <c r="F8" s="52">
        <v>30</v>
      </c>
      <c r="G8" s="59" t="s">
        <v>29</v>
      </c>
    </row>
    <row r="9" spans="1:7">
      <c r="A9" s="52">
        <v>4</v>
      </c>
      <c r="B9" s="53" t="s">
        <v>181</v>
      </c>
      <c r="C9" s="54">
        <v>2</v>
      </c>
      <c r="D9" s="55">
        <v>320</v>
      </c>
      <c r="E9" s="36">
        <f t="shared" si="0"/>
        <v>640</v>
      </c>
      <c r="F9" s="52">
        <v>30</v>
      </c>
      <c r="G9" s="2"/>
    </row>
    <row r="10" spans="1:7">
      <c r="A10" s="52">
        <v>5</v>
      </c>
      <c r="B10" s="53" t="s">
        <v>182</v>
      </c>
      <c r="C10" s="54">
        <v>2</v>
      </c>
      <c r="D10" s="55">
        <v>540</v>
      </c>
      <c r="E10" s="36">
        <f t="shared" si="0"/>
        <v>1080</v>
      </c>
      <c r="F10" s="52">
        <v>30</v>
      </c>
      <c r="G10" s="59"/>
    </row>
    <row r="11" spans="1:7">
      <c r="A11" s="52">
        <v>6</v>
      </c>
      <c r="B11" s="53" t="s">
        <v>183</v>
      </c>
      <c r="C11" s="54">
        <v>2</v>
      </c>
      <c r="D11" s="55">
        <v>240</v>
      </c>
      <c r="E11" s="36">
        <f t="shared" si="0"/>
        <v>480</v>
      </c>
      <c r="F11" s="52">
        <v>30</v>
      </c>
      <c r="G11" s="60" t="s">
        <v>162</v>
      </c>
    </row>
    <row r="12" spans="1:7">
      <c r="A12" s="52">
        <v>7</v>
      </c>
      <c r="B12" s="53" t="s">
        <v>184</v>
      </c>
      <c r="C12" s="54">
        <v>2</v>
      </c>
      <c r="D12" s="55">
        <v>240</v>
      </c>
      <c r="E12" s="36">
        <f t="shared" si="0"/>
        <v>480</v>
      </c>
      <c r="F12" s="52">
        <v>30</v>
      </c>
      <c r="G12" s="61" t="s">
        <v>31</v>
      </c>
    </row>
    <row r="13" spans="1:7">
      <c r="A13" s="52">
        <v>8</v>
      </c>
      <c r="B13" s="53" t="s">
        <v>185</v>
      </c>
      <c r="C13" s="54">
        <v>2</v>
      </c>
      <c r="D13" s="55">
        <v>950</v>
      </c>
      <c r="E13" s="36">
        <f t="shared" si="0"/>
        <v>1900</v>
      </c>
      <c r="F13" s="52">
        <v>30</v>
      </c>
      <c r="G13" s="59" t="s">
        <v>32</v>
      </c>
    </row>
    <row r="14" spans="1:7">
      <c r="A14" s="52">
        <v>9</v>
      </c>
      <c r="B14" s="53" t="s">
        <v>186</v>
      </c>
      <c r="C14" s="54">
        <v>20</v>
      </c>
      <c r="D14" s="55">
        <v>125</v>
      </c>
      <c r="E14" s="36">
        <f t="shared" si="0"/>
        <v>2500</v>
      </c>
      <c r="F14" s="52">
        <v>30</v>
      </c>
      <c r="G14" s="61" t="s">
        <v>33</v>
      </c>
    </row>
    <row r="15" spans="1:7">
      <c r="A15" s="52">
        <v>10</v>
      </c>
      <c r="B15" s="53" t="s">
        <v>187</v>
      </c>
      <c r="C15" s="54">
        <v>24</v>
      </c>
      <c r="D15" s="55">
        <v>57</v>
      </c>
      <c r="E15" s="36">
        <f t="shared" si="0"/>
        <v>1368</v>
      </c>
      <c r="F15" s="52">
        <v>30</v>
      </c>
      <c r="G15" s="59"/>
    </row>
    <row r="16" spans="1:7">
      <c r="A16" s="52">
        <v>11</v>
      </c>
      <c r="B16" s="53" t="s">
        <v>188</v>
      </c>
      <c r="C16" s="54">
        <v>20</v>
      </c>
      <c r="D16" s="55">
        <v>425</v>
      </c>
      <c r="E16" s="36">
        <f t="shared" si="0"/>
        <v>8500</v>
      </c>
      <c r="F16" s="52">
        <v>30</v>
      </c>
      <c r="G16" s="59"/>
    </row>
    <row r="17" spans="1:7">
      <c r="A17" s="52">
        <v>12</v>
      </c>
      <c r="B17" s="53" t="s">
        <v>189</v>
      </c>
      <c r="C17" s="54">
        <v>15</v>
      </c>
      <c r="D17" s="55">
        <v>425</v>
      </c>
      <c r="E17" s="36">
        <f t="shared" si="0"/>
        <v>6375</v>
      </c>
      <c r="F17" s="52">
        <v>30</v>
      </c>
      <c r="G17" s="2"/>
    </row>
    <row r="18" spans="1:7">
      <c r="A18" s="52">
        <v>13</v>
      </c>
      <c r="B18" s="53" t="s">
        <v>190</v>
      </c>
      <c r="C18" s="54">
        <v>15</v>
      </c>
      <c r="D18" s="55">
        <v>425</v>
      </c>
      <c r="E18" s="36">
        <f t="shared" si="0"/>
        <v>6375</v>
      </c>
      <c r="F18" s="52">
        <v>30</v>
      </c>
      <c r="G18" s="2"/>
    </row>
    <row r="19" spans="1:7">
      <c r="A19" s="52">
        <v>14</v>
      </c>
      <c r="B19" s="53" t="s">
        <v>191</v>
      </c>
      <c r="C19" s="54">
        <v>10</v>
      </c>
      <c r="D19" s="55">
        <v>425</v>
      </c>
      <c r="E19" s="36">
        <f t="shared" si="0"/>
        <v>4250</v>
      </c>
      <c r="F19" s="52">
        <v>30</v>
      </c>
      <c r="G19" s="2"/>
    </row>
    <row r="20" spans="1:7">
      <c r="A20" s="52">
        <v>15</v>
      </c>
      <c r="B20" s="53" t="s">
        <v>192</v>
      </c>
      <c r="C20" s="54">
        <v>3</v>
      </c>
      <c r="D20" s="55">
        <v>220</v>
      </c>
      <c r="E20" s="36">
        <f t="shared" si="0"/>
        <v>660</v>
      </c>
      <c r="F20" s="52">
        <v>30</v>
      </c>
      <c r="G20" s="2"/>
    </row>
    <row r="21" spans="1:7">
      <c r="A21" s="52">
        <v>16</v>
      </c>
      <c r="B21" s="53" t="s">
        <v>193</v>
      </c>
      <c r="C21" s="54">
        <v>2</v>
      </c>
      <c r="D21" s="55">
        <v>125</v>
      </c>
      <c r="E21" s="36">
        <f t="shared" si="0"/>
        <v>250</v>
      </c>
      <c r="F21" s="52">
        <v>30</v>
      </c>
      <c r="G21" s="2"/>
    </row>
    <row r="22" spans="1:7">
      <c r="A22" s="52">
        <v>17</v>
      </c>
      <c r="B22" s="53" t="s">
        <v>195</v>
      </c>
      <c r="C22" s="54">
        <v>10</v>
      </c>
      <c r="D22" s="55">
        <v>1350</v>
      </c>
      <c r="E22" s="36">
        <f t="shared" si="0"/>
        <v>13500</v>
      </c>
      <c r="F22" s="52">
        <v>30</v>
      </c>
      <c r="G22" s="2"/>
    </row>
    <row r="23" spans="1:7">
      <c r="A23" s="52">
        <v>18</v>
      </c>
      <c r="B23" s="53" t="s">
        <v>194</v>
      </c>
      <c r="C23" s="54">
        <v>3</v>
      </c>
      <c r="D23" s="55">
        <v>1390</v>
      </c>
      <c r="E23" s="36">
        <f t="shared" si="0"/>
        <v>4170</v>
      </c>
      <c r="F23" s="52">
        <v>30</v>
      </c>
      <c r="G23" s="2"/>
    </row>
    <row r="24" spans="1:7" hidden="1">
      <c r="A24" s="52"/>
      <c r="B24" s="53"/>
      <c r="C24" s="54"/>
      <c r="D24" s="55"/>
      <c r="E24" s="58"/>
      <c r="F24" s="52"/>
      <c r="G24" s="2"/>
    </row>
    <row r="25" spans="1:7" ht="41" hidden="1">
      <c r="A25" s="52"/>
      <c r="B25" s="53"/>
      <c r="C25" s="54"/>
      <c r="D25" s="55"/>
      <c r="E25" s="58"/>
      <c r="F25" s="52"/>
      <c r="G25" s="69" t="s">
        <v>164</v>
      </c>
    </row>
    <row r="26" spans="1:7" hidden="1">
      <c r="A26" s="52"/>
      <c r="B26" s="53"/>
      <c r="C26" s="54"/>
      <c r="D26" s="55"/>
      <c r="E26" s="58"/>
      <c r="F26" s="52"/>
      <c r="G26" s="59"/>
    </row>
    <row r="27" spans="1:7" hidden="1">
      <c r="A27" s="52"/>
      <c r="B27" s="53"/>
      <c r="C27" s="54"/>
      <c r="D27" s="55"/>
      <c r="E27" s="58"/>
      <c r="F27" s="52"/>
      <c r="G27" s="59"/>
    </row>
    <row r="28" spans="1:7" hidden="1">
      <c r="A28" s="52"/>
      <c r="B28" s="53"/>
      <c r="C28" s="54"/>
      <c r="D28" s="55"/>
      <c r="E28" s="58"/>
      <c r="F28" s="52"/>
      <c r="G28" s="27"/>
    </row>
    <row r="29" spans="1:7" hidden="1">
      <c r="A29" s="52"/>
      <c r="B29" s="53"/>
      <c r="C29" s="54"/>
      <c r="D29" s="55"/>
      <c r="E29" s="58"/>
      <c r="F29" s="52"/>
      <c r="G29" s="27"/>
    </row>
    <row r="30" spans="1:7" hidden="1">
      <c r="A30" s="52"/>
      <c r="B30" s="53"/>
      <c r="C30" s="54"/>
      <c r="D30" s="55"/>
      <c r="E30" s="58"/>
      <c r="F30" s="52"/>
      <c r="G30" s="28" t="s">
        <v>165</v>
      </c>
    </row>
    <row r="31" spans="1:7" hidden="1">
      <c r="A31" s="52"/>
      <c r="B31" s="53"/>
      <c r="C31" s="54"/>
      <c r="D31" s="55"/>
      <c r="E31" s="58"/>
      <c r="F31" s="52"/>
      <c r="G31" s="70" t="s">
        <v>166</v>
      </c>
    </row>
    <row r="32" spans="1:7" hidden="1">
      <c r="A32" s="52"/>
      <c r="B32" s="53"/>
      <c r="C32" s="54"/>
      <c r="D32" s="55"/>
      <c r="E32" s="58"/>
      <c r="F32" s="52"/>
      <c r="G32" s="70" t="s">
        <v>167</v>
      </c>
    </row>
    <row r="33" spans="1:7" hidden="1">
      <c r="A33" s="52"/>
      <c r="B33" s="53"/>
      <c r="C33" s="54"/>
      <c r="D33" s="55"/>
      <c r="E33" s="58"/>
      <c r="F33" s="52"/>
      <c r="G33" s="70" t="s">
        <v>168</v>
      </c>
    </row>
    <row r="34" spans="1:7" ht="23">
      <c r="A34" s="62"/>
      <c r="B34" s="63" t="s">
        <v>6</v>
      </c>
      <c r="C34" s="54"/>
      <c r="D34" s="62"/>
      <c r="E34" s="64">
        <f>SUM(E5:E33)</f>
        <v>55998</v>
      </c>
      <c r="F34" s="62"/>
      <c r="G34" s="2"/>
    </row>
    <row r="35" spans="1:7" ht="24.5">
      <c r="A35" s="62"/>
      <c r="B35" s="63" t="s">
        <v>34</v>
      </c>
      <c r="C35" s="54"/>
      <c r="D35" s="62"/>
      <c r="E35" s="23">
        <f>E34*7%</f>
        <v>3919.8600000000006</v>
      </c>
      <c r="F35" s="62"/>
      <c r="G35" s="2"/>
    </row>
    <row r="36" spans="1:7" ht="24.5">
      <c r="A36" s="62"/>
      <c r="B36" s="66" t="s">
        <v>35</v>
      </c>
      <c r="C36" s="62"/>
      <c r="D36" s="62"/>
      <c r="E36" s="67">
        <f>SUM(E34:E35)</f>
        <v>59917.86</v>
      </c>
      <c r="F36" s="62"/>
      <c r="G36" s="62"/>
    </row>
    <row r="37" spans="1:7" ht="24.5">
      <c r="A37" s="62"/>
      <c r="B37" s="66"/>
      <c r="C37" s="62"/>
      <c r="D37" s="62"/>
      <c r="E37" s="67"/>
      <c r="F37" s="62"/>
      <c r="G37" s="62"/>
    </row>
    <row r="38" spans="1:7" ht="33">
      <c r="A38" s="62"/>
      <c r="B38" s="68" t="s">
        <v>36</v>
      </c>
      <c r="C38" s="197" t="str">
        <f>BAHTTEXT(E36)</f>
        <v>ห้าหมื่นเก้าพันเก้าร้อยสิบเจ็ดบาทแปดสิบหกสตางค์</v>
      </c>
      <c r="D38" s="197"/>
      <c r="E38" s="197"/>
      <c r="F38" s="197"/>
      <c r="G38" s="62"/>
    </row>
  </sheetData>
  <mergeCells count="7">
    <mergeCell ref="G2:G4"/>
    <mergeCell ref="C38:F38"/>
    <mergeCell ref="A2:A4"/>
    <mergeCell ref="B2:B4"/>
    <mergeCell ref="C2:C4"/>
    <mergeCell ref="D2:E2"/>
    <mergeCell ref="F2:F4"/>
  </mergeCells>
  <pageMargins left="0.7" right="0.7" top="0.75" bottom="0.75" header="0.3" footer="0.3"/>
  <pageSetup paperSize="9" scale="57" fitToHeight="0"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6808-97E6-4F46-BD72-CF82CA6F86CD}">
  <sheetPr>
    <pageSetUpPr fitToPage="1"/>
  </sheetPr>
  <dimension ref="A2:G35"/>
  <sheetViews>
    <sheetView zoomScaleNormal="100" workbookViewId="0">
      <selection activeCell="I10" sqref="I10"/>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3">
        <v>1</v>
      </c>
      <c r="B5" s="30" t="s">
        <v>176</v>
      </c>
      <c r="C5" s="34">
        <v>10</v>
      </c>
      <c r="D5" s="35">
        <v>2845</v>
      </c>
      <c r="E5" s="36">
        <f>C5*D5</f>
        <v>28450</v>
      </c>
      <c r="F5" s="52">
        <v>30</v>
      </c>
      <c r="G5" s="57" t="s">
        <v>161</v>
      </c>
    </row>
    <row r="6" spans="1:7">
      <c r="A6" s="10"/>
      <c r="B6" s="30"/>
      <c r="C6" s="12"/>
      <c r="D6" s="35"/>
      <c r="E6" s="36"/>
      <c r="F6" s="52"/>
      <c r="G6" s="59" t="s">
        <v>29</v>
      </c>
    </row>
    <row r="7" spans="1:7">
      <c r="A7" s="10"/>
      <c r="B7" s="30"/>
      <c r="C7" s="12"/>
      <c r="D7" s="13"/>
      <c r="E7" s="36"/>
      <c r="F7" s="52"/>
      <c r="G7" s="27" t="s">
        <v>28</v>
      </c>
    </row>
    <row r="8" spans="1:7">
      <c r="A8" s="52"/>
      <c r="B8" s="53"/>
      <c r="C8" s="54"/>
      <c r="D8" s="55"/>
      <c r="E8" s="58"/>
      <c r="F8" s="52"/>
      <c r="G8" s="59" t="s">
        <v>30</v>
      </c>
    </row>
    <row r="9" spans="1:7">
      <c r="A9" s="52"/>
      <c r="B9" s="53"/>
      <c r="C9" s="54"/>
      <c r="D9" s="55"/>
      <c r="E9" s="58"/>
      <c r="F9" s="52"/>
      <c r="G9" s="59"/>
    </row>
    <row r="10" spans="1:7">
      <c r="A10" s="52"/>
      <c r="B10" s="53"/>
      <c r="C10" s="54"/>
      <c r="D10" s="55"/>
      <c r="E10" s="58"/>
      <c r="F10" s="52"/>
      <c r="G10" s="59"/>
    </row>
    <row r="11" spans="1:7">
      <c r="A11" s="52"/>
      <c r="B11" s="53"/>
      <c r="C11" s="54"/>
      <c r="D11" s="55"/>
      <c r="E11" s="58"/>
      <c r="F11" s="52"/>
      <c r="G11" s="60" t="s">
        <v>162</v>
      </c>
    </row>
    <row r="12" spans="1:7">
      <c r="A12" s="52"/>
      <c r="B12" s="53"/>
      <c r="C12" s="54"/>
      <c r="D12" s="55"/>
      <c r="E12" s="58"/>
      <c r="F12" s="52"/>
      <c r="G12" s="61" t="s">
        <v>31</v>
      </c>
    </row>
    <row r="13" spans="1:7">
      <c r="A13" s="52"/>
      <c r="B13" s="53"/>
      <c r="C13" s="54"/>
      <c r="D13" s="55"/>
      <c r="E13" s="58"/>
      <c r="F13" s="52"/>
      <c r="G13" s="59" t="s">
        <v>32</v>
      </c>
    </row>
    <row r="14" spans="1:7">
      <c r="A14" s="52"/>
      <c r="B14" s="53"/>
      <c r="C14" s="54"/>
      <c r="D14" s="55"/>
      <c r="E14" s="58"/>
      <c r="F14" s="52"/>
      <c r="G14" s="61" t="s">
        <v>33</v>
      </c>
    </row>
    <row r="15" spans="1:7">
      <c r="A15" s="52"/>
      <c r="B15" s="53"/>
      <c r="C15" s="54"/>
      <c r="D15" s="55"/>
      <c r="E15" s="58"/>
      <c r="F15" s="52"/>
      <c r="G15" s="59"/>
    </row>
    <row r="16" spans="1:7">
      <c r="A16" s="52"/>
      <c r="B16" s="53"/>
      <c r="C16" s="54"/>
      <c r="D16" s="55"/>
      <c r="E16" s="58"/>
      <c r="F16" s="52"/>
      <c r="G16" s="59"/>
    </row>
    <row r="17" spans="1:7">
      <c r="A17" s="52"/>
      <c r="B17" s="53"/>
      <c r="C17" s="54"/>
      <c r="D17" s="55"/>
      <c r="E17" s="58"/>
      <c r="F17" s="52"/>
      <c r="G17" s="2"/>
    </row>
    <row r="18" spans="1:7">
      <c r="A18" s="52"/>
      <c r="B18" s="53"/>
      <c r="C18" s="54"/>
      <c r="D18" s="55"/>
      <c r="E18" s="58"/>
      <c r="F18" s="52"/>
      <c r="G18" s="2"/>
    </row>
    <row r="19" spans="1:7">
      <c r="A19" s="52"/>
      <c r="B19" s="53"/>
      <c r="C19" s="54"/>
      <c r="D19" s="55"/>
      <c r="E19" s="58"/>
      <c r="F19" s="52"/>
      <c r="G19" s="2"/>
    </row>
    <row r="20" spans="1:7">
      <c r="A20" s="52"/>
      <c r="B20" s="53"/>
      <c r="C20" s="54"/>
      <c r="D20" s="55"/>
      <c r="E20" s="58"/>
      <c r="F20" s="52"/>
      <c r="G20" s="2"/>
    </row>
    <row r="21" spans="1:7" hidden="1">
      <c r="A21" s="52"/>
      <c r="B21" s="53"/>
      <c r="C21" s="54"/>
      <c r="D21" s="55"/>
      <c r="E21" s="58"/>
      <c r="F21" s="52"/>
      <c r="G21" s="2"/>
    </row>
    <row r="22" spans="1:7" ht="41" hidden="1">
      <c r="A22" s="52"/>
      <c r="B22" s="53"/>
      <c r="C22" s="54"/>
      <c r="D22" s="55"/>
      <c r="E22" s="58"/>
      <c r="F22" s="52"/>
      <c r="G22" s="69" t="s">
        <v>164</v>
      </c>
    </row>
    <row r="23" spans="1:7" hidden="1">
      <c r="A23" s="52"/>
      <c r="B23" s="53"/>
      <c r="C23" s="54"/>
      <c r="D23" s="55"/>
      <c r="E23" s="58"/>
      <c r="F23" s="52"/>
      <c r="G23" s="59"/>
    </row>
    <row r="24" spans="1:7" hidden="1">
      <c r="A24" s="52"/>
      <c r="B24" s="53"/>
      <c r="C24" s="54"/>
      <c r="D24" s="55"/>
      <c r="E24" s="58"/>
      <c r="F24" s="52"/>
      <c r="G24" s="59"/>
    </row>
    <row r="25" spans="1:7" hidden="1">
      <c r="A25" s="52"/>
      <c r="B25" s="53"/>
      <c r="C25" s="54"/>
      <c r="D25" s="55"/>
      <c r="E25" s="58"/>
      <c r="F25" s="52"/>
      <c r="G25" s="27"/>
    </row>
    <row r="26" spans="1:7" hidden="1">
      <c r="A26" s="52"/>
      <c r="B26" s="53"/>
      <c r="C26" s="54"/>
      <c r="D26" s="55"/>
      <c r="E26" s="58"/>
      <c r="F26" s="52"/>
      <c r="G26" s="27"/>
    </row>
    <row r="27" spans="1:7" hidden="1">
      <c r="A27" s="52"/>
      <c r="B27" s="53"/>
      <c r="C27" s="54"/>
      <c r="D27" s="55"/>
      <c r="E27" s="58"/>
      <c r="F27" s="52"/>
      <c r="G27" s="28" t="s">
        <v>165</v>
      </c>
    </row>
    <row r="28" spans="1:7" hidden="1">
      <c r="A28" s="52"/>
      <c r="B28" s="53"/>
      <c r="C28" s="54"/>
      <c r="D28" s="55"/>
      <c r="E28" s="58"/>
      <c r="F28" s="52"/>
      <c r="G28" s="70" t="s">
        <v>166</v>
      </c>
    </row>
    <row r="29" spans="1:7" hidden="1">
      <c r="A29" s="52"/>
      <c r="B29" s="53"/>
      <c r="C29" s="54"/>
      <c r="D29" s="55"/>
      <c r="E29" s="58"/>
      <c r="F29" s="52"/>
      <c r="G29" s="70" t="s">
        <v>167</v>
      </c>
    </row>
    <row r="30" spans="1:7" hidden="1">
      <c r="A30" s="52"/>
      <c r="B30" s="53"/>
      <c r="C30" s="54"/>
      <c r="D30" s="55"/>
      <c r="E30" s="58"/>
      <c r="F30" s="52"/>
      <c r="G30" s="70" t="s">
        <v>168</v>
      </c>
    </row>
    <row r="31" spans="1:7" ht="23">
      <c r="A31" s="62"/>
      <c r="B31" s="63" t="s">
        <v>6</v>
      </c>
      <c r="C31" s="54"/>
      <c r="D31" s="62"/>
      <c r="E31" s="64">
        <f>SUM(E5:E30)</f>
        <v>28450</v>
      </c>
      <c r="F31" s="62"/>
      <c r="G31" s="2"/>
    </row>
    <row r="32" spans="1:7" ht="24.5">
      <c r="A32" s="62"/>
      <c r="B32" s="63" t="s">
        <v>34</v>
      </c>
      <c r="C32" s="54"/>
      <c r="D32" s="62"/>
      <c r="E32" s="23">
        <f>E31*7%</f>
        <v>1991.5000000000002</v>
      </c>
      <c r="F32" s="62"/>
      <c r="G32" s="2"/>
    </row>
    <row r="33" spans="1:7" ht="24.5">
      <c r="A33" s="62"/>
      <c r="B33" s="66" t="s">
        <v>35</v>
      </c>
      <c r="C33" s="62"/>
      <c r="D33" s="62"/>
      <c r="E33" s="67">
        <f>SUM(E31:E32)</f>
        <v>30441.5</v>
      </c>
      <c r="F33" s="62"/>
      <c r="G33" s="62"/>
    </row>
    <row r="34" spans="1:7" ht="24.5">
      <c r="A34" s="62"/>
      <c r="B34" s="66"/>
      <c r="C34" s="62"/>
      <c r="D34" s="62"/>
      <c r="E34" s="67"/>
      <c r="F34" s="62"/>
      <c r="G34" s="62"/>
    </row>
    <row r="35" spans="1:7" ht="33">
      <c r="A35" s="62"/>
      <c r="B35" s="68" t="s">
        <v>36</v>
      </c>
      <c r="C35" s="197" t="str">
        <f>BAHTTEXT(E33)</f>
        <v>สามหมื่นสี่ร้อยสี่สิบเอ็ดบาทห้าสิบสตางค์</v>
      </c>
      <c r="D35" s="197"/>
      <c r="E35" s="197"/>
      <c r="F35" s="197"/>
      <c r="G35" s="62"/>
    </row>
  </sheetData>
  <mergeCells count="7">
    <mergeCell ref="G2:G4"/>
    <mergeCell ref="C35:F35"/>
    <mergeCell ref="A2:A4"/>
    <mergeCell ref="B2:B4"/>
    <mergeCell ref="C2:C4"/>
    <mergeCell ref="D2:E2"/>
    <mergeCell ref="F2:F4"/>
  </mergeCells>
  <pageMargins left="0.7" right="0.7" top="0.75" bottom="0.75" header="0.3" footer="0.3"/>
  <pageSetup paperSize="9" scale="57" fitToHeight="0"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120EE-0D30-494C-80B5-15271C342CC8}">
  <sheetPr>
    <pageSetUpPr fitToPage="1"/>
  </sheetPr>
  <dimension ref="A2:G27"/>
  <sheetViews>
    <sheetView zoomScale="85" zoomScaleNormal="85" workbookViewId="0">
      <selection activeCell="B7" sqref="B7"/>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71" t="s">
        <v>172</v>
      </c>
      <c r="C5" s="54">
        <v>1</v>
      </c>
      <c r="D5" s="55">
        <v>4000</v>
      </c>
      <c r="E5" s="56">
        <f>D5*C5</f>
        <v>4000</v>
      </c>
      <c r="F5" s="52">
        <v>30</v>
      </c>
      <c r="G5" s="57" t="s">
        <v>161</v>
      </c>
    </row>
    <row r="6" spans="1:7">
      <c r="A6" s="52"/>
      <c r="B6" s="53" t="s">
        <v>232</v>
      </c>
      <c r="C6" s="54"/>
      <c r="D6" s="55"/>
      <c r="E6" s="58"/>
      <c r="F6" s="52"/>
      <c r="G6" s="59" t="s">
        <v>29</v>
      </c>
    </row>
    <row r="7" spans="1:7">
      <c r="A7" s="52"/>
      <c r="B7" s="53" t="s">
        <v>175</v>
      </c>
      <c r="C7" s="54"/>
      <c r="D7" s="55"/>
      <c r="E7" s="58"/>
      <c r="F7" s="52"/>
      <c r="G7" s="27" t="s">
        <v>28</v>
      </c>
    </row>
    <row r="8" spans="1:7">
      <c r="A8" s="52"/>
      <c r="B8" s="53" t="s">
        <v>174</v>
      </c>
      <c r="C8" s="54"/>
      <c r="D8" s="55"/>
      <c r="E8" s="58"/>
      <c r="F8" s="52"/>
      <c r="G8" s="59" t="s">
        <v>30</v>
      </c>
    </row>
    <row r="9" spans="1:7">
      <c r="A9" s="52"/>
      <c r="B9" s="53"/>
      <c r="C9" s="54"/>
      <c r="D9" s="55"/>
      <c r="E9" s="58"/>
      <c r="F9" s="52"/>
      <c r="G9" s="59"/>
    </row>
    <row r="10" spans="1:7">
      <c r="A10" s="52"/>
      <c r="B10" s="53"/>
      <c r="C10" s="54"/>
      <c r="D10" s="55"/>
      <c r="E10" s="58"/>
      <c r="F10" s="52"/>
      <c r="G10" s="60" t="s">
        <v>162</v>
      </c>
    </row>
    <row r="11" spans="1:7">
      <c r="A11" s="52"/>
      <c r="B11" s="53"/>
      <c r="C11" s="54"/>
      <c r="D11" s="55"/>
      <c r="E11" s="58"/>
      <c r="F11" s="52"/>
      <c r="G11" s="61" t="s">
        <v>31</v>
      </c>
    </row>
    <row r="12" spans="1:7">
      <c r="A12" s="52"/>
      <c r="B12" s="53"/>
      <c r="C12" s="54"/>
      <c r="D12" s="55"/>
      <c r="E12" s="58"/>
      <c r="F12" s="52"/>
      <c r="G12" s="59" t="s">
        <v>32</v>
      </c>
    </row>
    <row r="13" spans="1:7">
      <c r="A13" s="52"/>
      <c r="B13" s="53"/>
      <c r="C13" s="54"/>
      <c r="D13" s="55"/>
      <c r="E13" s="58"/>
      <c r="F13" s="52"/>
      <c r="G13" s="61" t="s">
        <v>33</v>
      </c>
    </row>
    <row r="14" spans="1:7">
      <c r="A14" s="52"/>
      <c r="B14" s="53"/>
      <c r="C14" s="54"/>
      <c r="D14" s="55"/>
      <c r="E14" s="58"/>
      <c r="F14" s="52"/>
      <c r="G14" s="2"/>
    </row>
    <row r="15" spans="1:7" ht="41">
      <c r="A15" s="52"/>
      <c r="B15" s="53"/>
      <c r="C15" s="54"/>
      <c r="D15" s="55"/>
      <c r="E15" s="58"/>
      <c r="F15" s="52"/>
      <c r="G15" s="69" t="s">
        <v>164</v>
      </c>
    </row>
    <row r="16" spans="1:7">
      <c r="A16" s="52"/>
      <c r="B16" s="53"/>
      <c r="C16" s="54"/>
      <c r="D16" s="55"/>
      <c r="E16" s="58"/>
      <c r="F16" s="52"/>
      <c r="G16" s="59" t="s">
        <v>173</v>
      </c>
    </row>
    <row r="17" spans="1:7">
      <c r="A17" s="52"/>
      <c r="B17" s="53"/>
      <c r="C17" s="54"/>
      <c r="D17" s="55"/>
      <c r="E17" s="58"/>
      <c r="F17" s="52"/>
      <c r="G17" s="27" t="s">
        <v>173</v>
      </c>
    </row>
    <row r="18" spans="1:7">
      <c r="A18" s="52"/>
      <c r="B18" s="53"/>
      <c r="C18" s="54"/>
      <c r="D18" s="55"/>
      <c r="E18" s="58"/>
      <c r="F18" s="52"/>
      <c r="G18" s="27" t="s">
        <v>173</v>
      </c>
    </row>
    <row r="19" spans="1:7">
      <c r="A19" s="52"/>
      <c r="B19" s="53"/>
      <c r="C19" s="54"/>
      <c r="D19" s="55"/>
      <c r="E19" s="58"/>
      <c r="F19" s="52"/>
      <c r="G19" s="28" t="s">
        <v>165</v>
      </c>
    </row>
    <row r="20" spans="1:7">
      <c r="A20" s="52"/>
      <c r="B20" s="53"/>
      <c r="C20" s="54"/>
      <c r="D20" s="55"/>
      <c r="E20" s="58"/>
      <c r="F20" s="52"/>
      <c r="G20" s="70" t="s">
        <v>166</v>
      </c>
    </row>
    <row r="21" spans="1:7">
      <c r="A21" s="52"/>
      <c r="B21" s="53"/>
      <c r="C21" s="54"/>
      <c r="D21" s="55"/>
      <c r="E21" s="58"/>
      <c r="F21" s="52"/>
      <c r="G21" s="70" t="s">
        <v>167</v>
      </c>
    </row>
    <row r="22" spans="1:7">
      <c r="A22" s="52"/>
      <c r="B22" s="53"/>
      <c r="C22" s="54"/>
      <c r="D22" s="55"/>
      <c r="E22" s="58"/>
      <c r="F22" s="52"/>
      <c r="G22" s="70" t="s">
        <v>168</v>
      </c>
    </row>
    <row r="23" spans="1:7" ht="23">
      <c r="A23" s="62"/>
      <c r="B23" s="63" t="s">
        <v>6</v>
      </c>
      <c r="C23" s="54"/>
      <c r="D23" s="62"/>
      <c r="E23" s="64">
        <f>SUM(E5:E22)</f>
        <v>4000</v>
      </c>
      <c r="F23" s="62"/>
      <c r="G23" s="2"/>
    </row>
    <row r="24" spans="1:7" ht="24.5">
      <c r="A24" s="62"/>
      <c r="B24" s="63" t="s">
        <v>34</v>
      </c>
      <c r="C24" s="54"/>
      <c r="D24" s="62"/>
      <c r="E24" s="65">
        <f>E23*0%</f>
        <v>0</v>
      </c>
      <c r="F24" s="62"/>
      <c r="G24" s="2"/>
    </row>
    <row r="25" spans="1:7" ht="24.5">
      <c r="A25" s="62"/>
      <c r="B25" s="66" t="s">
        <v>35</v>
      </c>
      <c r="C25" s="62"/>
      <c r="D25" s="62"/>
      <c r="E25" s="67">
        <f>SUM(E23:E24)</f>
        <v>4000</v>
      </c>
      <c r="F25" s="62"/>
      <c r="G25" s="62"/>
    </row>
    <row r="26" spans="1:7" ht="24.5">
      <c r="A26" s="62"/>
      <c r="B26" s="66"/>
      <c r="C26" s="62"/>
      <c r="D26" s="62"/>
      <c r="E26" s="67"/>
      <c r="F26" s="62"/>
      <c r="G26" s="62"/>
    </row>
    <row r="27" spans="1:7" ht="33">
      <c r="A27" s="62"/>
      <c r="B27" s="68" t="s">
        <v>36</v>
      </c>
      <c r="C27" s="197" t="str">
        <f>BAHTTEXT(E25)</f>
        <v>สี่พันบาทถ้วน</v>
      </c>
      <c r="D27" s="197"/>
      <c r="E27" s="197"/>
      <c r="F27" s="197"/>
      <c r="G27" s="62"/>
    </row>
  </sheetData>
  <mergeCells count="7">
    <mergeCell ref="G2:G4"/>
    <mergeCell ref="C27:F27"/>
    <mergeCell ref="A2:A4"/>
    <mergeCell ref="B2:B4"/>
    <mergeCell ref="C2:C4"/>
    <mergeCell ref="D2:E2"/>
    <mergeCell ref="F2:F4"/>
  </mergeCells>
  <pageMargins left="0.7" right="0.7" top="0.75" bottom="0.75" header="0.3" footer="0.3"/>
  <pageSetup paperSize="9" scale="57" fitToHeight="0"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D473-276D-4FBF-ACBA-29A51556CD85}">
  <sheetPr>
    <pageSetUpPr fitToPage="1"/>
  </sheetPr>
  <dimension ref="A2:G35"/>
  <sheetViews>
    <sheetView topLeftCell="A10" zoomScaleNormal="100" workbookViewId="0">
      <selection activeCell="B11" sqref="B11"/>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3">
        <v>1</v>
      </c>
      <c r="B5" s="30" t="s">
        <v>169</v>
      </c>
      <c r="C5" s="34">
        <v>24</v>
      </c>
      <c r="D5" s="35">
        <v>550</v>
      </c>
      <c r="E5" s="36">
        <f>C5*D5</f>
        <v>13200</v>
      </c>
      <c r="F5" s="52">
        <v>30</v>
      </c>
      <c r="G5" s="57" t="s">
        <v>161</v>
      </c>
    </row>
    <row r="6" spans="1:7">
      <c r="A6" s="10">
        <v>2</v>
      </c>
      <c r="B6" s="30" t="s">
        <v>170</v>
      </c>
      <c r="C6" s="12">
        <v>2</v>
      </c>
      <c r="D6" s="35">
        <v>135</v>
      </c>
      <c r="E6" s="36">
        <f t="shared" ref="E6:E7" si="0">C6*D6</f>
        <v>270</v>
      </c>
      <c r="F6" s="52">
        <v>30</v>
      </c>
      <c r="G6" s="59" t="s">
        <v>29</v>
      </c>
    </row>
    <row r="7" spans="1:7">
      <c r="A7" s="10">
        <v>3</v>
      </c>
      <c r="B7" s="30" t="s">
        <v>171</v>
      </c>
      <c r="C7" s="12">
        <v>2</v>
      </c>
      <c r="D7" s="13">
        <v>69</v>
      </c>
      <c r="E7" s="36">
        <f t="shared" si="0"/>
        <v>138</v>
      </c>
      <c r="F7" s="52">
        <v>30</v>
      </c>
      <c r="G7" s="27" t="s">
        <v>28</v>
      </c>
    </row>
    <row r="8" spans="1:7">
      <c r="A8" s="52"/>
      <c r="B8" s="53"/>
      <c r="C8" s="54"/>
      <c r="D8" s="55"/>
      <c r="E8" s="58"/>
      <c r="F8" s="52"/>
      <c r="G8" s="59" t="s">
        <v>30</v>
      </c>
    </row>
    <row r="9" spans="1:7">
      <c r="A9" s="52"/>
      <c r="B9" s="53"/>
      <c r="C9" s="54"/>
      <c r="D9" s="55"/>
      <c r="E9" s="58"/>
      <c r="F9" s="52"/>
      <c r="G9" s="59"/>
    </row>
    <row r="10" spans="1:7">
      <c r="A10" s="52"/>
      <c r="B10" s="53"/>
      <c r="C10" s="54"/>
      <c r="D10" s="55"/>
      <c r="E10" s="58"/>
      <c r="F10" s="52"/>
      <c r="G10" s="59"/>
    </row>
    <row r="11" spans="1:7">
      <c r="A11" s="52"/>
      <c r="B11" s="53"/>
      <c r="C11" s="54"/>
      <c r="D11" s="55"/>
      <c r="E11" s="58"/>
      <c r="F11" s="52"/>
      <c r="G11" s="60" t="s">
        <v>162</v>
      </c>
    </row>
    <row r="12" spans="1:7">
      <c r="A12" s="52"/>
      <c r="B12" s="53"/>
      <c r="C12" s="54"/>
      <c r="D12" s="55"/>
      <c r="E12" s="58"/>
      <c r="F12" s="52"/>
      <c r="G12" s="61" t="s">
        <v>31</v>
      </c>
    </row>
    <row r="13" spans="1:7">
      <c r="A13" s="52"/>
      <c r="B13" s="53"/>
      <c r="C13" s="54"/>
      <c r="D13" s="55"/>
      <c r="E13" s="58"/>
      <c r="F13" s="52"/>
      <c r="G13" s="59" t="s">
        <v>32</v>
      </c>
    </row>
    <row r="14" spans="1:7">
      <c r="A14" s="52"/>
      <c r="B14" s="53"/>
      <c r="C14" s="54"/>
      <c r="D14" s="55"/>
      <c r="E14" s="58"/>
      <c r="F14" s="52"/>
      <c r="G14" s="61" t="s">
        <v>33</v>
      </c>
    </row>
    <row r="15" spans="1:7">
      <c r="A15" s="52"/>
      <c r="B15" s="53"/>
      <c r="C15" s="54"/>
      <c r="D15" s="55"/>
      <c r="E15" s="58"/>
      <c r="F15" s="52"/>
      <c r="G15" s="59"/>
    </row>
    <row r="16" spans="1:7">
      <c r="A16" s="52"/>
      <c r="B16" s="53"/>
      <c r="C16" s="54"/>
      <c r="D16" s="55"/>
      <c r="E16" s="58"/>
      <c r="F16" s="52"/>
      <c r="G16" s="59"/>
    </row>
    <row r="17" spans="1:7">
      <c r="A17" s="52"/>
      <c r="B17" s="53"/>
      <c r="C17" s="54"/>
      <c r="D17" s="55"/>
      <c r="E17" s="58"/>
      <c r="F17" s="52"/>
      <c r="G17" s="2"/>
    </row>
    <row r="18" spans="1:7">
      <c r="A18" s="52"/>
      <c r="B18" s="53"/>
      <c r="C18" s="54"/>
      <c r="D18" s="55"/>
      <c r="E18" s="58"/>
      <c r="F18" s="52"/>
      <c r="G18" s="2"/>
    </row>
    <row r="19" spans="1:7">
      <c r="A19" s="52"/>
      <c r="B19" s="53"/>
      <c r="C19" s="54"/>
      <c r="D19" s="55"/>
      <c r="E19" s="58"/>
      <c r="F19" s="52"/>
      <c r="G19" s="2"/>
    </row>
    <row r="20" spans="1:7">
      <c r="A20" s="52"/>
      <c r="B20" s="53"/>
      <c r="C20" s="54"/>
      <c r="D20" s="55"/>
      <c r="E20" s="58"/>
      <c r="F20" s="52"/>
      <c r="G20" s="2"/>
    </row>
    <row r="21" spans="1:7" hidden="1">
      <c r="A21" s="52"/>
      <c r="B21" s="53"/>
      <c r="C21" s="54"/>
      <c r="D21" s="55"/>
      <c r="E21" s="58"/>
      <c r="F21" s="52"/>
      <c r="G21" s="2"/>
    </row>
    <row r="22" spans="1:7" ht="41" hidden="1">
      <c r="A22" s="52"/>
      <c r="B22" s="53"/>
      <c r="C22" s="54"/>
      <c r="D22" s="55"/>
      <c r="E22" s="58"/>
      <c r="F22" s="52"/>
      <c r="G22" s="69" t="s">
        <v>164</v>
      </c>
    </row>
    <row r="23" spans="1:7" hidden="1">
      <c r="A23" s="52"/>
      <c r="B23" s="53"/>
      <c r="C23" s="54"/>
      <c r="D23" s="55"/>
      <c r="E23" s="58"/>
      <c r="F23" s="52"/>
      <c r="G23" s="59"/>
    </row>
    <row r="24" spans="1:7" hidden="1">
      <c r="A24" s="52"/>
      <c r="B24" s="53"/>
      <c r="C24" s="54"/>
      <c r="D24" s="55"/>
      <c r="E24" s="58"/>
      <c r="F24" s="52"/>
      <c r="G24" s="59"/>
    </row>
    <row r="25" spans="1:7" hidden="1">
      <c r="A25" s="52"/>
      <c r="B25" s="53"/>
      <c r="C25" s="54"/>
      <c r="D25" s="55"/>
      <c r="E25" s="58"/>
      <c r="F25" s="52"/>
      <c r="G25" s="27"/>
    </row>
    <row r="26" spans="1:7" hidden="1">
      <c r="A26" s="52"/>
      <c r="B26" s="53"/>
      <c r="C26" s="54"/>
      <c r="D26" s="55"/>
      <c r="E26" s="58"/>
      <c r="F26" s="52"/>
      <c r="G26" s="27"/>
    </row>
    <row r="27" spans="1:7" hidden="1">
      <c r="A27" s="52"/>
      <c r="B27" s="53"/>
      <c r="C27" s="54"/>
      <c r="D27" s="55"/>
      <c r="E27" s="58"/>
      <c r="F27" s="52"/>
      <c r="G27" s="28" t="s">
        <v>165</v>
      </c>
    </row>
    <row r="28" spans="1:7" hidden="1">
      <c r="A28" s="52"/>
      <c r="B28" s="53"/>
      <c r="C28" s="54"/>
      <c r="D28" s="55"/>
      <c r="E28" s="58"/>
      <c r="F28" s="52"/>
      <c r="G28" s="70" t="s">
        <v>166</v>
      </c>
    </row>
    <row r="29" spans="1:7" hidden="1">
      <c r="A29" s="52"/>
      <c r="B29" s="53"/>
      <c r="C29" s="54"/>
      <c r="D29" s="55"/>
      <c r="E29" s="58"/>
      <c r="F29" s="52"/>
      <c r="G29" s="70" t="s">
        <v>167</v>
      </c>
    </row>
    <row r="30" spans="1:7" hidden="1">
      <c r="A30" s="52"/>
      <c r="B30" s="53"/>
      <c r="C30" s="54"/>
      <c r="D30" s="55"/>
      <c r="E30" s="58"/>
      <c r="F30" s="52"/>
      <c r="G30" s="70" t="s">
        <v>168</v>
      </c>
    </row>
    <row r="31" spans="1:7" ht="23">
      <c r="A31" s="62"/>
      <c r="B31" s="63" t="s">
        <v>6</v>
      </c>
      <c r="C31" s="54"/>
      <c r="D31" s="62"/>
      <c r="E31" s="64">
        <f>SUM(E5:E30)</f>
        <v>13608</v>
      </c>
      <c r="F31" s="62"/>
      <c r="G31" s="2"/>
    </row>
    <row r="32" spans="1:7" ht="24.5">
      <c r="A32" s="62"/>
      <c r="B32" s="63" t="s">
        <v>34</v>
      </c>
      <c r="C32" s="54"/>
      <c r="D32" s="62"/>
      <c r="E32" s="23">
        <f>E31*7%</f>
        <v>952.56000000000006</v>
      </c>
      <c r="F32" s="62"/>
      <c r="G32" s="2"/>
    </row>
    <row r="33" spans="1:7" ht="24.5">
      <c r="A33" s="62"/>
      <c r="B33" s="66" t="s">
        <v>35</v>
      </c>
      <c r="C33" s="62"/>
      <c r="D33" s="62"/>
      <c r="E33" s="67">
        <f>SUM(E31:E32)</f>
        <v>14560.56</v>
      </c>
      <c r="F33" s="62"/>
      <c r="G33" s="62"/>
    </row>
    <row r="34" spans="1:7" ht="24.5">
      <c r="A34" s="62"/>
      <c r="B34" s="66"/>
      <c r="C34" s="62"/>
      <c r="D34" s="62"/>
      <c r="E34" s="67"/>
      <c r="F34" s="62"/>
      <c r="G34" s="62"/>
    </row>
    <row r="35" spans="1:7" ht="33">
      <c r="A35" s="62"/>
      <c r="B35" s="68" t="s">
        <v>36</v>
      </c>
      <c r="C35" s="197" t="str">
        <f>BAHTTEXT(E33)</f>
        <v>หนึ่งหมื่นสี่พันห้าร้อยหกสิบบาทห้าสิบหกสตางค์</v>
      </c>
      <c r="D35" s="197"/>
      <c r="E35" s="197"/>
      <c r="F35" s="197"/>
      <c r="G35" s="62"/>
    </row>
  </sheetData>
  <mergeCells count="7">
    <mergeCell ref="G2:G4"/>
    <mergeCell ref="C35:F35"/>
    <mergeCell ref="A2:A4"/>
    <mergeCell ref="B2:B4"/>
    <mergeCell ref="C2:C4"/>
    <mergeCell ref="D2:E2"/>
    <mergeCell ref="F2:F4"/>
  </mergeCells>
  <pageMargins left="0.7" right="0.7" top="0.75" bottom="0.75" header="0.3" footer="0.3"/>
  <pageSetup paperSize="9" scale="57" fitToHeight="0"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1D69-D9B4-432C-96B8-2463FF7959D0}">
  <sheetPr>
    <pageSetUpPr fitToPage="1"/>
  </sheetPr>
  <dimension ref="A2:G28"/>
  <sheetViews>
    <sheetView zoomScaleNormal="100" workbookViewId="0">
      <selection activeCell="B5" sqref="B5:B7"/>
    </sheetView>
  </sheetViews>
  <sheetFormatPr defaultColWidth="9.08203125" defaultRowHeight="20.5"/>
  <cols>
    <col min="1" max="1" width="9.08203125" style="1"/>
    <col min="2" max="2" width="56.33203125" style="1" customWidth="1"/>
    <col min="3" max="3" width="9.08203125" style="1"/>
    <col min="4" max="4" width="11.75" style="1" bestFit="1" customWidth="1"/>
    <col min="5" max="5" width="12.83203125" style="1" bestFit="1" customWidth="1"/>
    <col min="6" max="6" width="13.75" style="1" bestFit="1" customWidth="1"/>
    <col min="7" max="7" width="26.75" style="1" customWidth="1"/>
    <col min="8" max="16384" width="9.08203125" style="1"/>
  </cols>
  <sheetData>
    <row r="2" spans="1:7">
      <c r="A2" s="198" t="s">
        <v>0</v>
      </c>
      <c r="B2" s="199" t="s">
        <v>1</v>
      </c>
      <c r="C2" s="198" t="s">
        <v>2</v>
      </c>
      <c r="D2" s="200" t="s">
        <v>3</v>
      </c>
      <c r="E2" s="201"/>
      <c r="F2" s="199" t="s">
        <v>7</v>
      </c>
      <c r="G2" s="194" t="s">
        <v>163</v>
      </c>
    </row>
    <row r="3" spans="1:7">
      <c r="A3" s="198"/>
      <c r="B3" s="199"/>
      <c r="C3" s="198"/>
      <c r="D3" s="49" t="s">
        <v>5</v>
      </c>
      <c r="E3" s="50" t="s">
        <v>6</v>
      </c>
      <c r="F3" s="199"/>
      <c r="G3" s="195"/>
    </row>
    <row r="4" spans="1:7">
      <c r="A4" s="198"/>
      <c r="B4" s="199"/>
      <c r="C4" s="198"/>
      <c r="D4" s="51" t="s">
        <v>4</v>
      </c>
      <c r="E4" s="51" t="s">
        <v>4</v>
      </c>
      <c r="F4" s="199"/>
      <c r="G4" s="196"/>
    </row>
    <row r="5" spans="1:7">
      <c r="A5" s="52">
        <v>1</v>
      </c>
      <c r="B5" s="53" t="s">
        <v>124</v>
      </c>
      <c r="C5" s="54">
        <v>1</v>
      </c>
      <c r="D5" s="55">
        <v>7500</v>
      </c>
      <c r="E5" s="56">
        <f>D5*C5</f>
        <v>7500</v>
      </c>
      <c r="F5" s="52">
        <v>30</v>
      </c>
      <c r="G5" s="57" t="s">
        <v>161</v>
      </c>
    </row>
    <row r="6" spans="1:7">
      <c r="A6" s="52"/>
      <c r="B6" s="53" t="s">
        <v>153</v>
      </c>
      <c r="C6" s="54"/>
      <c r="D6" s="55"/>
      <c r="E6" s="58"/>
      <c r="F6" s="52"/>
      <c r="G6" s="59" t="s">
        <v>29</v>
      </c>
    </row>
    <row r="7" spans="1:7">
      <c r="A7" s="52"/>
      <c r="B7" s="53" t="s">
        <v>154</v>
      </c>
      <c r="C7" s="54"/>
      <c r="D7" s="55"/>
      <c r="E7" s="58"/>
      <c r="F7" s="52"/>
      <c r="G7" s="27" t="s">
        <v>28</v>
      </c>
    </row>
    <row r="8" spans="1:7">
      <c r="A8" s="52"/>
      <c r="B8" s="53"/>
      <c r="C8" s="54"/>
      <c r="D8" s="55"/>
      <c r="E8" s="58"/>
      <c r="F8" s="52"/>
      <c r="G8" s="59" t="s">
        <v>30</v>
      </c>
    </row>
    <row r="9" spans="1:7">
      <c r="A9" s="52"/>
      <c r="B9" s="53"/>
      <c r="C9" s="54"/>
      <c r="D9" s="55"/>
      <c r="E9" s="58"/>
      <c r="F9" s="52"/>
      <c r="G9" s="59"/>
    </row>
    <row r="10" spans="1:7">
      <c r="A10" s="52"/>
      <c r="B10" s="53"/>
      <c r="C10" s="54"/>
      <c r="D10" s="55"/>
      <c r="E10" s="58"/>
      <c r="F10" s="52"/>
      <c r="G10" s="60" t="s">
        <v>162</v>
      </c>
    </row>
    <row r="11" spans="1:7">
      <c r="A11" s="52"/>
      <c r="B11" s="53"/>
      <c r="C11" s="54"/>
      <c r="D11" s="55"/>
      <c r="E11" s="58"/>
      <c r="F11" s="52"/>
      <c r="G11" s="61" t="s">
        <v>31</v>
      </c>
    </row>
    <row r="12" spans="1:7">
      <c r="A12" s="52"/>
      <c r="B12" s="53"/>
      <c r="C12" s="54"/>
      <c r="D12" s="55"/>
      <c r="E12" s="58"/>
      <c r="F12" s="52"/>
      <c r="G12" s="59" t="s">
        <v>32</v>
      </c>
    </row>
    <row r="13" spans="1:7">
      <c r="A13" s="52"/>
      <c r="B13" s="53"/>
      <c r="C13" s="54"/>
      <c r="D13" s="55"/>
      <c r="E13" s="58"/>
      <c r="F13" s="52"/>
      <c r="G13" s="61" t="s">
        <v>33</v>
      </c>
    </row>
    <row r="14" spans="1:7" hidden="1">
      <c r="A14" s="52"/>
      <c r="B14" s="53"/>
      <c r="C14" s="54"/>
      <c r="D14" s="55"/>
      <c r="E14" s="58"/>
      <c r="F14" s="52"/>
      <c r="G14" s="2"/>
    </row>
    <row r="15" spans="1:7" ht="41" hidden="1">
      <c r="A15" s="52"/>
      <c r="B15" s="53"/>
      <c r="C15" s="54"/>
      <c r="D15" s="55"/>
      <c r="E15" s="58"/>
      <c r="F15" s="52"/>
      <c r="G15" s="69" t="s">
        <v>164</v>
      </c>
    </row>
    <row r="16" spans="1:7" hidden="1">
      <c r="A16" s="52"/>
      <c r="B16" s="53"/>
      <c r="C16" s="54"/>
      <c r="D16" s="55"/>
      <c r="E16" s="58"/>
      <c r="F16" s="52"/>
      <c r="G16" s="59"/>
    </row>
    <row r="17" spans="1:7" hidden="1">
      <c r="A17" s="52"/>
      <c r="B17" s="53"/>
      <c r="C17" s="54"/>
      <c r="D17" s="55"/>
      <c r="E17" s="58"/>
      <c r="F17" s="52"/>
      <c r="G17" s="59"/>
    </row>
    <row r="18" spans="1:7" hidden="1">
      <c r="A18" s="52"/>
      <c r="B18" s="53"/>
      <c r="C18" s="54"/>
      <c r="D18" s="55"/>
      <c r="E18" s="58"/>
      <c r="F18" s="52"/>
      <c r="G18" s="27"/>
    </row>
    <row r="19" spans="1:7" hidden="1">
      <c r="A19" s="52"/>
      <c r="B19" s="53"/>
      <c r="C19" s="54"/>
      <c r="D19" s="55"/>
      <c r="E19" s="58"/>
      <c r="F19" s="52"/>
      <c r="G19" s="27"/>
    </row>
    <row r="20" spans="1:7" hidden="1">
      <c r="A20" s="52"/>
      <c r="B20" s="53"/>
      <c r="C20" s="54"/>
      <c r="D20" s="55"/>
      <c r="E20" s="58"/>
      <c r="F20" s="52"/>
      <c r="G20" s="28" t="s">
        <v>165</v>
      </c>
    </row>
    <row r="21" spans="1:7" hidden="1">
      <c r="A21" s="52"/>
      <c r="B21" s="53"/>
      <c r="C21" s="54"/>
      <c r="D21" s="55"/>
      <c r="E21" s="58"/>
      <c r="F21" s="52"/>
      <c r="G21" s="70" t="s">
        <v>166</v>
      </c>
    </row>
    <row r="22" spans="1:7" hidden="1">
      <c r="A22" s="52"/>
      <c r="B22" s="53"/>
      <c r="C22" s="54"/>
      <c r="D22" s="55"/>
      <c r="E22" s="58"/>
      <c r="F22" s="52"/>
      <c r="G22" s="70" t="s">
        <v>167</v>
      </c>
    </row>
    <row r="23" spans="1:7" hidden="1">
      <c r="A23" s="52"/>
      <c r="B23" s="53"/>
      <c r="C23" s="54"/>
      <c r="D23" s="55"/>
      <c r="E23" s="58"/>
      <c r="F23" s="52"/>
      <c r="G23" s="70" t="s">
        <v>168</v>
      </c>
    </row>
    <row r="24" spans="1:7" ht="23">
      <c r="A24" s="62"/>
      <c r="B24" s="63" t="s">
        <v>6</v>
      </c>
      <c r="C24" s="54"/>
      <c r="D24" s="62"/>
      <c r="E24" s="64">
        <f>SUM(E5:E23)</f>
        <v>7500</v>
      </c>
      <c r="F24" s="62"/>
      <c r="G24" s="2"/>
    </row>
    <row r="25" spans="1:7" ht="24.5">
      <c r="A25" s="62"/>
      <c r="B25" s="63" t="s">
        <v>34</v>
      </c>
      <c r="C25" s="54"/>
      <c r="D25" s="62"/>
      <c r="E25" s="65">
        <f>E24*0%</f>
        <v>0</v>
      </c>
      <c r="F25" s="62"/>
      <c r="G25" s="2"/>
    </row>
    <row r="26" spans="1:7" ht="24.5">
      <c r="A26" s="62"/>
      <c r="B26" s="66" t="s">
        <v>35</v>
      </c>
      <c r="C26" s="62"/>
      <c r="D26" s="62"/>
      <c r="E26" s="67">
        <f>SUM(E24:E25)</f>
        <v>7500</v>
      </c>
      <c r="F26" s="62"/>
      <c r="G26" s="62"/>
    </row>
    <row r="27" spans="1:7" ht="24.5">
      <c r="A27" s="62"/>
      <c r="B27" s="66"/>
      <c r="C27" s="62"/>
      <c r="D27" s="62"/>
      <c r="E27" s="67"/>
      <c r="F27" s="62"/>
      <c r="G27" s="62"/>
    </row>
    <row r="28" spans="1:7" ht="33">
      <c r="A28" s="62"/>
      <c r="B28" s="68" t="s">
        <v>36</v>
      </c>
      <c r="C28" s="197" t="str">
        <f>BAHTTEXT(E26)</f>
        <v>เจ็ดพันห้าร้อยบาทถ้วน</v>
      </c>
      <c r="D28" s="197"/>
      <c r="E28" s="197"/>
      <c r="F28" s="197"/>
      <c r="G28" s="62"/>
    </row>
  </sheetData>
  <mergeCells count="7">
    <mergeCell ref="G2:G4"/>
    <mergeCell ref="C28:F28"/>
    <mergeCell ref="A2:A4"/>
    <mergeCell ref="B2:B4"/>
    <mergeCell ref="C2:C4"/>
    <mergeCell ref="D2:E2"/>
    <mergeCell ref="F2:F4"/>
  </mergeCells>
  <pageMargins left="0.7" right="0.7" top="0.75" bottom="0.75" header="0.3" footer="0.3"/>
  <pageSetup paperSize="9" scale="57" fitToHeight="0"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41D9-21DD-451E-8966-030AA90E5E3E}">
  <dimension ref="A2:G35"/>
  <sheetViews>
    <sheetView topLeftCell="A3" zoomScale="115" zoomScaleNormal="115" workbookViewId="0">
      <selection activeCell="E32" sqref="E32"/>
    </sheetView>
  </sheetViews>
  <sheetFormatPr defaultColWidth="9.08203125" defaultRowHeight="20.5"/>
  <cols>
    <col min="1" max="1" width="9.08203125" style="1"/>
    <col min="2" max="2" width="40.25" style="1" bestFit="1" customWidth="1"/>
    <col min="3" max="3" width="7.25" style="1" bestFit="1" customWidth="1"/>
    <col min="4" max="4" width="11.25" style="1" bestFit="1" customWidth="1"/>
    <col min="5" max="5" width="14.83203125" style="1" bestFit="1" customWidth="1"/>
    <col min="6" max="6" width="23.08203125" style="1" bestFit="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24">
      <c r="A5" s="3">
        <v>1</v>
      </c>
      <c r="B5" s="43" t="s">
        <v>127</v>
      </c>
      <c r="C5" s="42">
        <v>24</v>
      </c>
      <c r="D5" s="44">
        <v>75</v>
      </c>
      <c r="E5" s="44">
        <f>D5*C5</f>
        <v>1800</v>
      </c>
      <c r="F5" s="41">
        <v>30</v>
      </c>
      <c r="G5" s="29" t="s">
        <v>51</v>
      </c>
    </row>
    <row r="6" spans="1:7" ht="24">
      <c r="A6" s="3">
        <v>2</v>
      </c>
      <c r="B6" s="43" t="s">
        <v>128</v>
      </c>
      <c r="C6" s="42">
        <v>24</v>
      </c>
      <c r="D6" s="44">
        <v>65</v>
      </c>
      <c r="E6" s="44">
        <f t="shared" ref="E6:E30" si="0">D6*C6</f>
        <v>1560</v>
      </c>
      <c r="F6" s="41">
        <v>30</v>
      </c>
      <c r="G6" s="27" t="s">
        <v>28</v>
      </c>
    </row>
    <row r="7" spans="1:7" ht="24">
      <c r="A7" s="3">
        <v>3</v>
      </c>
      <c r="B7" s="43" t="s">
        <v>129</v>
      </c>
      <c r="C7" s="42">
        <v>48</v>
      </c>
      <c r="D7" s="44">
        <v>65</v>
      </c>
      <c r="E7" s="44">
        <f t="shared" si="0"/>
        <v>3120</v>
      </c>
      <c r="F7" s="41">
        <v>30</v>
      </c>
      <c r="G7" s="15" t="s">
        <v>30</v>
      </c>
    </row>
    <row r="8" spans="1:7" ht="24">
      <c r="A8" s="3">
        <v>4</v>
      </c>
      <c r="B8" s="43" t="s">
        <v>130</v>
      </c>
      <c r="C8" s="42">
        <v>36</v>
      </c>
      <c r="D8" s="44">
        <v>70</v>
      </c>
      <c r="E8" s="44">
        <f t="shared" si="0"/>
        <v>2520</v>
      </c>
      <c r="F8" s="41">
        <v>30</v>
      </c>
      <c r="G8" s="15" t="s">
        <v>29</v>
      </c>
    </row>
    <row r="9" spans="1:7" ht="24">
      <c r="A9" s="3">
        <v>5</v>
      </c>
      <c r="B9" s="43" t="s">
        <v>131</v>
      </c>
      <c r="C9" s="42">
        <v>12</v>
      </c>
      <c r="D9" s="44">
        <v>65</v>
      </c>
      <c r="E9" s="44">
        <f t="shared" si="0"/>
        <v>780</v>
      </c>
      <c r="F9" s="41">
        <v>30</v>
      </c>
      <c r="G9" s="15"/>
    </row>
    <row r="10" spans="1:7" ht="24">
      <c r="A10" s="3">
        <v>6</v>
      </c>
      <c r="B10" s="43" t="s">
        <v>132</v>
      </c>
      <c r="C10" s="42">
        <v>24</v>
      </c>
      <c r="D10" s="44">
        <v>65</v>
      </c>
      <c r="E10" s="44">
        <f t="shared" si="0"/>
        <v>1560</v>
      </c>
      <c r="F10" s="41">
        <v>30</v>
      </c>
      <c r="G10" s="15"/>
    </row>
    <row r="11" spans="1:7" ht="24">
      <c r="A11" s="3">
        <v>7</v>
      </c>
      <c r="B11" s="43" t="s">
        <v>133</v>
      </c>
      <c r="C11" s="42">
        <v>12</v>
      </c>
      <c r="D11" s="44">
        <v>65</v>
      </c>
      <c r="E11" s="44">
        <f t="shared" si="0"/>
        <v>780</v>
      </c>
      <c r="F11" s="41">
        <v>30</v>
      </c>
      <c r="G11" s="15"/>
    </row>
    <row r="12" spans="1:7" ht="24">
      <c r="A12" s="3">
        <v>8</v>
      </c>
      <c r="B12" s="43" t="s">
        <v>134</v>
      </c>
      <c r="C12" s="42">
        <v>12</v>
      </c>
      <c r="D12" s="44">
        <v>65</v>
      </c>
      <c r="E12" s="44">
        <f t="shared" si="0"/>
        <v>780</v>
      </c>
      <c r="F12" s="41">
        <v>30</v>
      </c>
      <c r="G12" s="15"/>
    </row>
    <row r="13" spans="1:7" ht="24">
      <c r="A13" s="3">
        <v>9</v>
      </c>
      <c r="B13" s="43" t="s">
        <v>135</v>
      </c>
      <c r="C13" s="42">
        <v>30</v>
      </c>
      <c r="D13" s="44">
        <v>250</v>
      </c>
      <c r="E13" s="44">
        <f t="shared" si="0"/>
        <v>7500</v>
      </c>
      <c r="F13" s="41">
        <v>30</v>
      </c>
      <c r="G13" s="15"/>
    </row>
    <row r="14" spans="1:7" ht="24">
      <c r="A14" s="3">
        <v>10</v>
      </c>
      <c r="B14" s="43" t="s">
        <v>136</v>
      </c>
      <c r="C14" s="42">
        <v>84</v>
      </c>
      <c r="D14" s="44">
        <v>50</v>
      </c>
      <c r="E14" s="44">
        <f t="shared" si="0"/>
        <v>4200</v>
      </c>
      <c r="F14" s="41">
        <v>30</v>
      </c>
      <c r="G14" s="29" t="s">
        <v>50</v>
      </c>
    </row>
    <row r="15" spans="1:7" ht="24">
      <c r="A15" s="3">
        <v>11</v>
      </c>
      <c r="B15" s="43" t="s">
        <v>137</v>
      </c>
      <c r="C15" s="42">
        <v>24</v>
      </c>
      <c r="D15" s="44">
        <v>80</v>
      </c>
      <c r="E15" s="44">
        <f t="shared" si="0"/>
        <v>1920</v>
      </c>
      <c r="F15" s="41">
        <v>30</v>
      </c>
      <c r="G15" s="31" t="s">
        <v>31</v>
      </c>
    </row>
    <row r="16" spans="1:7" ht="24">
      <c r="A16" s="3">
        <v>12</v>
      </c>
      <c r="B16" s="43" t="s">
        <v>138</v>
      </c>
      <c r="C16" s="42">
        <v>12</v>
      </c>
      <c r="D16" s="44">
        <v>60</v>
      </c>
      <c r="E16" s="44">
        <f t="shared" si="0"/>
        <v>720</v>
      </c>
      <c r="F16" s="41">
        <v>30</v>
      </c>
      <c r="G16" s="31" t="s">
        <v>32</v>
      </c>
    </row>
    <row r="17" spans="1:7" ht="24">
      <c r="A17" s="3">
        <v>13</v>
      </c>
      <c r="B17" s="43" t="s">
        <v>139</v>
      </c>
      <c r="C17" s="42">
        <v>160</v>
      </c>
      <c r="D17" s="44">
        <v>5</v>
      </c>
      <c r="E17" s="44">
        <f t="shared" si="0"/>
        <v>800</v>
      </c>
      <c r="F17" s="41">
        <v>30</v>
      </c>
      <c r="G17" s="27" t="s">
        <v>33</v>
      </c>
    </row>
    <row r="18" spans="1:7" ht="24">
      <c r="A18" s="3">
        <v>14</v>
      </c>
      <c r="B18" s="43" t="s">
        <v>140</v>
      </c>
      <c r="C18" s="42">
        <v>30</v>
      </c>
      <c r="D18" s="44">
        <v>5</v>
      </c>
      <c r="E18" s="44">
        <f t="shared" si="0"/>
        <v>150</v>
      </c>
      <c r="F18" s="41">
        <v>30</v>
      </c>
      <c r="G18" s="2"/>
    </row>
    <row r="19" spans="1:7" ht="24">
      <c r="A19" s="3">
        <v>15</v>
      </c>
      <c r="B19" s="43" t="s">
        <v>141</v>
      </c>
      <c r="C19" s="42">
        <v>80</v>
      </c>
      <c r="D19" s="44">
        <v>8</v>
      </c>
      <c r="E19" s="44">
        <f t="shared" si="0"/>
        <v>640</v>
      </c>
      <c r="F19" s="41">
        <v>30</v>
      </c>
      <c r="G19" s="15"/>
    </row>
    <row r="20" spans="1:7" ht="24">
      <c r="A20" s="3">
        <v>16</v>
      </c>
      <c r="B20" s="43" t="s">
        <v>142</v>
      </c>
      <c r="C20" s="42">
        <v>54</v>
      </c>
      <c r="D20" s="44">
        <v>10</v>
      </c>
      <c r="E20" s="44">
        <f t="shared" si="0"/>
        <v>540</v>
      </c>
      <c r="F20" s="41">
        <v>30</v>
      </c>
      <c r="G20" s="2"/>
    </row>
    <row r="21" spans="1:7" ht="24">
      <c r="A21" s="3">
        <v>17</v>
      </c>
      <c r="B21" s="43" t="s">
        <v>143</v>
      </c>
      <c r="C21" s="42">
        <v>54</v>
      </c>
      <c r="D21" s="44">
        <v>2</v>
      </c>
      <c r="E21" s="44">
        <f t="shared" si="0"/>
        <v>108</v>
      </c>
      <c r="F21" s="41">
        <v>30</v>
      </c>
      <c r="G21" s="2"/>
    </row>
    <row r="22" spans="1:7" ht="24">
      <c r="A22" s="3">
        <v>18</v>
      </c>
      <c r="B22" s="45" t="s">
        <v>144</v>
      </c>
      <c r="C22" s="42">
        <v>12</v>
      </c>
      <c r="D22" s="44">
        <v>250</v>
      </c>
      <c r="E22" s="44">
        <f t="shared" si="0"/>
        <v>3000</v>
      </c>
      <c r="F22" s="41">
        <v>30</v>
      </c>
      <c r="G22" s="2"/>
    </row>
    <row r="23" spans="1:7" ht="24">
      <c r="A23" s="3">
        <v>19</v>
      </c>
      <c r="B23" s="45" t="s">
        <v>145</v>
      </c>
      <c r="C23" s="42">
        <v>12</v>
      </c>
      <c r="D23" s="44">
        <v>200</v>
      </c>
      <c r="E23" s="44">
        <f t="shared" si="0"/>
        <v>2400</v>
      </c>
      <c r="F23" s="41">
        <v>30</v>
      </c>
      <c r="G23" s="2"/>
    </row>
    <row r="24" spans="1:7" ht="24">
      <c r="A24" s="3">
        <v>20</v>
      </c>
      <c r="B24" s="45" t="s">
        <v>146</v>
      </c>
      <c r="C24" s="42">
        <v>12</v>
      </c>
      <c r="D24" s="44">
        <v>500</v>
      </c>
      <c r="E24" s="44">
        <f t="shared" si="0"/>
        <v>6000</v>
      </c>
      <c r="F24" s="41">
        <v>30</v>
      </c>
      <c r="G24" s="2"/>
    </row>
    <row r="25" spans="1:7" ht="24">
      <c r="A25" s="3">
        <v>21</v>
      </c>
      <c r="B25" s="45" t="s">
        <v>147</v>
      </c>
      <c r="C25" s="42">
        <v>12</v>
      </c>
      <c r="D25" s="44">
        <v>500</v>
      </c>
      <c r="E25" s="44">
        <f t="shared" si="0"/>
        <v>6000</v>
      </c>
      <c r="F25" s="41">
        <v>30</v>
      </c>
      <c r="G25" s="2"/>
    </row>
    <row r="26" spans="1:7" ht="24">
      <c r="A26" s="3">
        <v>22</v>
      </c>
      <c r="B26" s="45" t="s">
        <v>148</v>
      </c>
      <c r="C26" s="42">
        <v>24</v>
      </c>
      <c r="D26" s="44">
        <v>500</v>
      </c>
      <c r="E26" s="44">
        <f t="shared" si="0"/>
        <v>12000</v>
      </c>
      <c r="F26" s="41">
        <v>30</v>
      </c>
      <c r="G26" s="2"/>
    </row>
    <row r="27" spans="1:7" ht="24">
      <c r="A27" s="3">
        <v>23</v>
      </c>
      <c r="B27" s="45" t="s">
        <v>149</v>
      </c>
      <c r="C27" s="42">
        <v>36</v>
      </c>
      <c r="D27" s="44">
        <v>750</v>
      </c>
      <c r="E27" s="44">
        <f t="shared" si="0"/>
        <v>27000</v>
      </c>
      <c r="F27" s="41">
        <v>30</v>
      </c>
      <c r="G27" s="2"/>
    </row>
    <row r="28" spans="1:7" ht="24">
      <c r="A28" s="3">
        <v>24</v>
      </c>
      <c r="B28" s="45" t="s">
        <v>150</v>
      </c>
      <c r="C28" s="42">
        <v>12</v>
      </c>
      <c r="D28" s="44">
        <v>400</v>
      </c>
      <c r="E28" s="44">
        <f t="shared" si="0"/>
        <v>4800</v>
      </c>
      <c r="F28" s="41">
        <v>30</v>
      </c>
      <c r="G28" s="2"/>
    </row>
    <row r="29" spans="1:7" ht="24">
      <c r="A29" s="3">
        <v>25</v>
      </c>
      <c r="B29" s="46" t="s">
        <v>151</v>
      </c>
      <c r="C29" s="12">
        <v>12</v>
      </c>
      <c r="D29" s="47">
        <v>250</v>
      </c>
      <c r="E29" s="44">
        <f t="shared" si="0"/>
        <v>3000</v>
      </c>
      <c r="F29" s="41">
        <v>30</v>
      </c>
      <c r="G29" s="2"/>
    </row>
    <row r="30" spans="1:7" ht="25.5">
      <c r="A30" s="3">
        <v>26</v>
      </c>
      <c r="B30" s="46" t="s">
        <v>152</v>
      </c>
      <c r="C30" s="12">
        <v>12</v>
      </c>
      <c r="D30" s="47">
        <v>500</v>
      </c>
      <c r="E30" s="48">
        <f t="shared" si="0"/>
        <v>6000</v>
      </c>
      <c r="F30" s="41">
        <v>30</v>
      </c>
      <c r="G30" s="2"/>
    </row>
    <row r="31" spans="1:7" ht="23">
      <c r="A31" s="2"/>
      <c r="B31" s="21" t="s">
        <v>6</v>
      </c>
      <c r="C31" s="12"/>
      <c r="D31" s="2"/>
      <c r="E31" s="22">
        <f>SUM(E5:E30)</f>
        <v>99678</v>
      </c>
      <c r="F31" s="2"/>
      <c r="G31" s="2"/>
    </row>
    <row r="32" spans="1:7" ht="24.5">
      <c r="A32" s="2"/>
      <c r="B32" s="21" t="s">
        <v>34</v>
      </c>
      <c r="C32" s="12"/>
      <c r="D32" s="2"/>
      <c r="E32" s="23">
        <f>E31*7%</f>
        <v>6977.4600000000009</v>
      </c>
      <c r="F32" s="2"/>
      <c r="G32" s="2"/>
    </row>
    <row r="33" spans="1:7" ht="24.5">
      <c r="A33" s="2"/>
      <c r="B33" s="20" t="s">
        <v>35</v>
      </c>
      <c r="C33" s="2"/>
      <c r="D33" s="2"/>
      <c r="E33" s="24">
        <f>SUM(E31:E32)</f>
        <v>106655.46</v>
      </c>
      <c r="F33" s="2"/>
      <c r="G33" s="2"/>
    </row>
    <row r="34" spans="1:7" ht="24.5">
      <c r="A34" s="2"/>
      <c r="B34" s="20"/>
      <c r="C34" s="2"/>
      <c r="D34" s="2"/>
      <c r="E34" s="24"/>
      <c r="F34" s="2"/>
      <c r="G34" s="2"/>
    </row>
    <row r="35" spans="1:7" ht="33">
      <c r="A35" s="2"/>
      <c r="B35" s="26" t="s">
        <v>36</v>
      </c>
      <c r="C35" s="202" t="str">
        <f>BAHTTEXT(E33)</f>
        <v>หนึ่งแสนหกพันหกร้อยห้าสิบห้าบาทสี่สิบหกสตางค์</v>
      </c>
      <c r="D35" s="203"/>
      <c r="E35" s="203"/>
      <c r="F35" s="203"/>
      <c r="G35" s="204"/>
    </row>
  </sheetData>
  <mergeCells count="6">
    <mergeCell ref="C35:G35"/>
    <mergeCell ref="A2:A4"/>
    <mergeCell ref="B2:B4"/>
    <mergeCell ref="C2:C4"/>
    <mergeCell ref="D2:E2"/>
    <mergeCell ref="F2:F4"/>
  </mergeCells>
  <pageMargins left="0.7" right="0.7" top="0.75" bottom="0.75" header="0.3" footer="0.3"/>
  <pageSetup paperSize="9" scale="63"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D80B-DD0A-4DE4-9810-D00B0D27E69B}">
  <dimension ref="A2:G16"/>
  <sheetViews>
    <sheetView zoomScale="115" zoomScaleNormal="115" workbookViewId="0">
      <selection activeCell="A2" sqref="A2:G16"/>
    </sheetView>
  </sheetViews>
  <sheetFormatPr defaultColWidth="9.08203125" defaultRowHeight="20.5"/>
  <cols>
    <col min="1" max="1" width="9.08203125" style="1"/>
    <col min="2" max="2" width="46" style="1" customWidth="1"/>
    <col min="3" max="3" width="6.33203125" style="1" bestFit="1" customWidth="1"/>
    <col min="4" max="4" width="9.83203125" style="1" bestFit="1" customWidth="1"/>
    <col min="5" max="5" width="11.75" style="1" bestFit="1" customWidth="1"/>
    <col min="6" max="6" width="20.25" style="1" bestFit="1" customWidth="1"/>
    <col min="7" max="7" width="24.83203125" style="1" bestFit="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30" t="s">
        <v>155</v>
      </c>
      <c r="C5" s="34">
        <v>2</v>
      </c>
      <c r="D5" s="35">
        <v>1900</v>
      </c>
      <c r="E5" s="36">
        <f>C5*D5</f>
        <v>3800</v>
      </c>
      <c r="F5" s="3">
        <v>30</v>
      </c>
      <c r="G5" s="29" t="s">
        <v>51</v>
      </c>
    </row>
    <row r="6" spans="1:7">
      <c r="A6" s="10">
        <v>2</v>
      </c>
      <c r="B6" s="30" t="s">
        <v>156</v>
      </c>
      <c r="C6" s="12">
        <v>2</v>
      </c>
      <c r="D6" s="35">
        <v>300</v>
      </c>
      <c r="E6" s="36">
        <f>C6*D6</f>
        <v>600</v>
      </c>
      <c r="F6" s="3">
        <v>30</v>
      </c>
      <c r="G6" s="15" t="s">
        <v>29</v>
      </c>
    </row>
    <row r="7" spans="1:7">
      <c r="A7" s="10">
        <v>3</v>
      </c>
      <c r="B7" s="30" t="s">
        <v>157</v>
      </c>
      <c r="C7" s="12">
        <v>2</v>
      </c>
      <c r="D7" s="13">
        <v>120</v>
      </c>
      <c r="E7" s="36">
        <f t="shared" ref="E7:E10" si="0">C7*D7</f>
        <v>240</v>
      </c>
      <c r="F7" s="3">
        <v>30</v>
      </c>
      <c r="G7" s="15" t="s">
        <v>28</v>
      </c>
    </row>
    <row r="8" spans="1:7">
      <c r="A8" s="10">
        <v>4</v>
      </c>
      <c r="B8" s="30" t="s">
        <v>158</v>
      </c>
      <c r="C8" s="12">
        <v>2</v>
      </c>
      <c r="D8" s="13">
        <v>50</v>
      </c>
      <c r="E8" s="36">
        <f t="shared" si="0"/>
        <v>100</v>
      </c>
      <c r="F8" s="3">
        <v>30</v>
      </c>
      <c r="G8" s="15" t="s">
        <v>30</v>
      </c>
    </row>
    <row r="9" spans="1:7">
      <c r="A9" s="10">
        <v>5</v>
      </c>
      <c r="B9" s="30" t="s">
        <v>159</v>
      </c>
      <c r="C9" s="12">
        <v>2</v>
      </c>
      <c r="D9" s="13">
        <v>2500</v>
      </c>
      <c r="E9" s="36">
        <f t="shared" si="0"/>
        <v>5000</v>
      </c>
      <c r="F9" s="3">
        <v>30</v>
      </c>
      <c r="G9" s="2"/>
    </row>
    <row r="10" spans="1:7">
      <c r="A10" s="10">
        <v>6</v>
      </c>
      <c r="B10" s="32" t="s">
        <v>160</v>
      </c>
      <c r="C10" s="12">
        <v>15</v>
      </c>
      <c r="D10" s="13">
        <v>160</v>
      </c>
      <c r="E10" s="36">
        <f t="shared" si="0"/>
        <v>2400</v>
      </c>
      <c r="F10" s="3">
        <v>30</v>
      </c>
      <c r="G10" s="29" t="s">
        <v>50</v>
      </c>
    </row>
    <row r="11" spans="1:7">
      <c r="A11" s="10"/>
      <c r="B11" s="30"/>
      <c r="C11" s="12"/>
      <c r="D11" s="13"/>
      <c r="E11" s="36"/>
      <c r="F11" s="3"/>
      <c r="G11" s="31" t="s">
        <v>31</v>
      </c>
    </row>
    <row r="12" spans="1:7" ht="23">
      <c r="A12" s="2"/>
      <c r="B12" s="21" t="s">
        <v>6</v>
      </c>
      <c r="C12" s="12"/>
      <c r="D12" s="2"/>
      <c r="E12" s="22">
        <f>SUM(E5:E11)</f>
        <v>12140</v>
      </c>
      <c r="F12" s="2"/>
      <c r="G12" s="31" t="s">
        <v>32</v>
      </c>
    </row>
    <row r="13" spans="1:7" ht="24.5">
      <c r="A13" s="2"/>
      <c r="B13" s="21" t="s">
        <v>34</v>
      </c>
      <c r="C13" s="12"/>
      <c r="D13" s="2"/>
      <c r="E13" s="23">
        <f>E12*7%</f>
        <v>849.80000000000007</v>
      </c>
      <c r="F13" s="2"/>
      <c r="G13" s="27" t="s">
        <v>33</v>
      </c>
    </row>
    <row r="14" spans="1:7" ht="24.5">
      <c r="A14" s="2"/>
      <c r="B14" s="20" t="s">
        <v>35</v>
      </c>
      <c r="C14" s="2"/>
      <c r="D14" s="2"/>
      <c r="E14" s="24">
        <f>SUM(E12:E13)</f>
        <v>12989.8</v>
      </c>
      <c r="F14" s="2"/>
      <c r="G14" s="2"/>
    </row>
    <row r="15" spans="1:7" ht="24.5">
      <c r="A15" s="2"/>
      <c r="B15" s="20"/>
      <c r="C15" s="2"/>
      <c r="D15" s="2"/>
      <c r="E15" s="24"/>
      <c r="F15" s="2"/>
      <c r="G15" s="2"/>
    </row>
    <row r="16" spans="1:7" ht="33">
      <c r="A16" s="2"/>
      <c r="B16" s="26" t="s">
        <v>36</v>
      </c>
      <c r="C16" s="202" t="str">
        <f>BAHTTEXT(E14)</f>
        <v>หนึ่งหมื่นสองพันเก้าร้อยแปดสิบเก้าบาทแปดสิบสตางค์</v>
      </c>
      <c r="D16" s="203"/>
      <c r="E16" s="203"/>
      <c r="F16" s="203"/>
      <c r="G16" s="204"/>
    </row>
  </sheetData>
  <mergeCells count="6">
    <mergeCell ref="C16:G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E614-3533-4F6B-831D-958BAF9D5AA1}">
  <dimension ref="A2:G16"/>
  <sheetViews>
    <sheetView zoomScale="85" zoomScaleNormal="85" workbookViewId="0">
      <selection activeCell="G5" sqref="G5"/>
    </sheetView>
  </sheetViews>
  <sheetFormatPr defaultColWidth="9.08203125" defaultRowHeight="20.5"/>
  <cols>
    <col min="1" max="1" width="9.08203125" style="1"/>
    <col min="2" max="2" width="52.75" style="1" customWidth="1"/>
    <col min="3" max="3" width="9.08203125" style="1"/>
    <col min="4" max="4" width="11.75" style="1" bestFit="1" customWidth="1"/>
    <col min="5" max="5" width="12.83203125" style="1" bestFit="1" customWidth="1"/>
    <col min="6" max="6" width="13.7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11" t="s">
        <v>124</v>
      </c>
      <c r="C5" s="12">
        <v>1</v>
      </c>
      <c r="D5" s="13">
        <v>16000</v>
      </c>
      <c r="E5" s="14">
        <f>D5*C5</f>
        <v>16000</v>
      </c>
      <c r="F5" s="10">
        <v>30</v>
      </c>
      <c r="G5" s="29" t="s">
        <v>49</v>
      </c>
    </row>
    <row r="6" spans="1:7">
      <c r="A6" s="10"/>
      <c r="B6" s="11" t="s">
        <v>125</v>
      </c>
      <c r="C6" s="12"/>
      <c r="D6" s="13"/>
      <c r="E6" s="14"/>
      <c r="F6" s="10"/>
      <c r="G6" s="15" t="s">
        <v>29</v>
      </c>
    </row>
    <row r="7" spans="1:7" ht="41">
      <c r="A7" s="10"/>
      <c r="B7" s="11" t="s">
        <v>126</v>
      </c>
      <c r="C7" s="12"/>
      <c r="D7" s="13"/>
      <c r="E7" s="14"/>
      <c r="F7" s="10"/>
      <c r="G7" s="15" t="s">
        <v>48</v>
      </c>
    </row>
    <row r="8" spans="1:7">
      <c r="A8" s="10"/>
      <c r="B8" s="11"/>
      <c r="C8" s="12"/>
      <c r="D8" s="13"/>
      <c r="E8" s="14"/>
      <c r="F8" s="10"/>
      <c r="G8" s="15" t="s">
        <v>30</v>
      </c>
    </row>
    <row r="9" spans="1:7">
      <c r="A9" s="10"/>
      <c r="B9" s="11"/>
      <c r="C9" s="12"/>
      <c r="D9" s="13"/>
      <c r="E9" s="14"/>
      <c r="F9" s="10"/>
      <c r="G9" s="15"/>
    </row>
    <row r="10" spans="1:7">
      <c r="A10" s="10"/>
      <c r="B10" s="11"/>
      <c r="C10" s="12"/>
      <c r="D10" s="16"/>
      <c r="E10" s="14"/>
      <c r="F10" s="10"/>
      <c r="G10" s="28" t="s">
        <v>50</v>
      </c>
    </row>
    <row r="11" spans="1:7">
      <c r="A11" s="10"/>
      <c r="B11" s="11"/>
      <c r="C11" s="12"/>
      <c r="D11" s="16"/>
      <c r="E11" s="14"/>
      <c r="F11" s="10"/>
      <c r="G11" s="27" t="s">
        <v>31</v>
      </c>
    </row>
    <row r="12" spans="1:7" ht="23">
      <c r="A12" s="2"/>
      <c r="B12" s="21" t="s">
        <v>6</v>
      </c>
      <c r="C12" s="12"/>
      <c r="D12" s="2"/>
      <c r="E12" s="22">
        <f>SUM(E5:E11)</f>
        <v>16000</v>
      </c>
      <c r="F12" s="2"/>
      <c r="G12" s="15" t="s">
        <v>32</v>
      </c>
    </row>
    <row r="13" spans="1:7" ht="24.5">
      <c r="A13" s="2"/>
      <c r="B13" s="21" t="s">
        <v>34</v>
      </c>
      <c r="C13" s="12"/>
      <c r="D13" s="2"/>
      <c r="E13" s="23">
        <f>E12*0%</f>
        <v>0</v>
      </c>
      <c r="F13" s="2"/>
      <c r="G13" s="27" t="s">
        <v>33</v>
      </c>
    </row>
    <row r="14" spans="1:7" ht="24.5">
      <c r="A14" s="2"/>
      <c r="B14" s="20" t="s">
        <v>35</v>
      </c>
      <c r="C14" s="2"/>
      <c r="D14" s="2"/>
      <c r="E14" s="24">
        <f>SUM(E12:E13)</f>
        <v>16000</v>
      </c>
      <c r="F14" s="2"/>
      <c r="G14" s="2"/>
    </row>
    <row r="15" spans="1:7" ht="24.5">
      <c r="A15" s="2"/>
      <c r="B15" s="20"/>
      <c r="C15" s="2"/>
      <c r="D15" s="2"/>
      <c r="E15" s="24"/>
      <c r="F15" s="2"/>
      <c r="G15" s="2"/>
    </row>
    <row r="16" spans="1:7" ht="33">
      <c r="A16" s="2"/>
      <c r="B16" s="26" t="s">
        <v>36</v>
      </c>
      <c r="C16" s="205" t="str">
        <f>BAHTTEXT(E14)</f>
        <v>หนึ่งหมื่นหกพันบาทถ้วน</v>
      </c>
      <c r="D16" s="205"/>
      <c r="E16" s="205"/>
      <c r="F16" s="205"/>
      <c r="G16" s="2"/>
    </row>
  </sheetData>
  <mergeCells count="6">
    <mergeCell ref="C16:F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1B258-8C76-4A6E-9921-4467EDCB5673}">
  <dimension ref="A2:G19"/>
  <sheetViews>
    <sheetView topLeftCell="A5" zoomScale="115" zoomScaleNormal="115" workbookViewId="0">
      <selection activeCell="H8" sqref="H8"/>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16.58203125" style="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61.5">
      <c r="A5" s="10">
        <v>1</v>
      </c>
      <c r="B5" s="30" t="s">
        <v>115</v>
      </c>
      <c r="C5" s="12">
        <v>16</v>
      </c>
      <c r="D5" s="13">
        <v>600</v>
      </c>
      <c r="E5" s="14">
        <f t="shared" ref="E5:E13" si="0">C5*D5</f>
        <v>9600</v>
      </c>
      <c r="F5" s="10">
        <v>30</v>
      </c>
      <c r="G5" s="29" t="s">
        <v>51</v>
      </c>
    </row>
    <row r="6" spans="1:7">
      <c r="A6" s="10">
        <v>2</v>
      </c>
      <c r="B6" s="30" t="s">
        <v>116</v>
      </c>
      <c r="C6" s="12">
        <v>5</v>
      </c>
      <c r="D6" s="13">
        <v>800</v>
      </c>
      <c r="E6" s="14">
        <f t="shared" si="0"/>
        <v>4000</v>
      </c>
      <c r="F6" s="10">
        <v>30</v>
      </c>
      <c r="G6" s="15" t="s">
        <v>28</v>
      </c>
    </row>
    <row r="7" spans="1:7" ht="41">
      <c r="A7" s="10">
        <v>3</v>
      </c>
      <c r="B7" s="15" t="s">
        <v>117</v>
      </c>
      <c r="C7" s="37">
        <v>2</v>
      </c>
      <c r="D7" s="38">
        <v>1800</v>
      </c>
      <c r="E7" s="14">
        <f t="shared" si="0"/>
        <v>3600</v>
      </c>
      <c r="F7" s="10">
        <v>30</v>
      </c>
      <c r="G7" s="15" t="s">
        <v>30</v>
      </c>
    </row>
    <row r="8" spans="1:7" ht="41">
      <c r="A8" s="2">
        <v>4</v>
      </c>
      <c r="B8" s="15" t="s">
        <v>118</v>
      </c>
      <c r="C8" s="37">
        <v>2</v>
      </c>
      <c r="D8" s="38">
        <v>150</v>
      </c>
      <c r="E8" s="14">
        <f t="shared" si="0"/>
        <v>300</v>
      </c>
      <c r="F8" s="10">
        <v>30</v>
      </c>
      <c r="G8" s="15" t="s">
        <v>29</v>
      </c>
    </row>
    <row r="9" spans="1:7" ht="41">
      <c r="A9" s="1">
        <v>5</v>
      </c>
      <c r="B9" s="39" t="s">
        <v>119</v>
      </c>
      <c r="C9" s="37">
        <v>2</v>
      </c>
      <c r="D9" s="38">
        <v>300</v>
      </c>
      <c r="E9" s="14">
        <f t="shared" si="0"/>
        <v>600</v>
      </c>
      <c r="F9" s="10">
        <v>30</v>
      </c>
      <c r="G9" s="29" t="s">
        <v>50</v>
      </c>
    </row>
    <row r="10" spans="1:7">
      <c r="A10" s="10">
        <v>6</v>
      </c>
      <c r="B10" s="30" t="s">
        <v>120</v>
      </c>
      <c r="C10" s="12">
        <v>8</v>
      </c>
      <c r="D10" s="13">
        <v>200</v>
      </c>
      <c r="E10" s="14">
        <f t="shared" si="0"/>
        <v>1600</v>
      </c>
      <c r="F10" s="10">
        <v>30</v>
      </c>
      <c r="G10" s="40" t="s">
        <v>31</v>
      </c>
    </row>
    <row r="11" spans="1:7" ht="41">
      <c r="A11" s="10">
        <v>7</v>
      </c>
      <c r="B11" s="30" t="s">
        <v>121</v>
      </c>
      <c r="C11" s="12">
        <v>4</v>
      </c>
      <c r="D11" s="13">
        <v>300</v>
      </c>
      <c r="E11" s="14">
        <f t="shared" si="0"/>
        <v>1200</v>
      </c>
      <c r="F11" s="10">
        <v>30</v>
      </c>
      <c r="G11" s="15" t="s">
        <v>33</v>
      </c>
    </row>
    <row r="12" spans="1:7">
      <c r="A12" s="10">
        <v>8</v>
      </c>
      <c r="B12" s="30" t="s">
        <v>122</v>
      </c>
      <c r="C12" s="12">
        <v>5</v>
      </c>
      <c r="D12" s="13">
        <v>25</v>
      </c>
      <c r="E12" s="14">
        <f t="shared" si="0"/>
        <v>125</v>
      </c>
      <c r="F12" s="10">
        <v>30</v>
      </c>
      <c r="G12" s="40" t="s">
        <v>32</v>
      </c>
    </row>
    <row r="13" spans="1:7">
      <c r="A13" s="10">
        <v>9</v>
      </c>
      <c r="B13" s="30" t="s">
        <v>123</v>
      </c>
      <c r="C13" s="12">
        <v>2</v>
      </c>
      <c r="D13" s="13">
        <v>2500</v>
      </c>
      <c r="E13" s="14">
        <f t="shared" si="0"/>
        <v>5000</v>
      </c>
      <c r="F13" s="3"/>
      <c r="G13" s="15"/>
    </row>
    <row r="14" spans="1:7">
      <c r="A14" s="10"/>
      <c r="B14" s="30"/>
      <c r="C14" s="12"/>
      <c r="D14" s="13"/>
      <c r="E14" s="14"/>
      <c r="F14" s="3"/>
      <c r="G14" s="15"/>
    </row>
    <row r="15" spans="1:7" ht="23">
      <c r="A15" s="2"/>
      <c r="B15" s="21" t="s">
        <v>6</v>
      </c>
      <c r="C15" s="12"/>
      <c r="D15" s="2"/>
      <c r="E15" s="22">
        <f>SUM(E5:E13)</f>
        <v>26025</v>
      </c>
      <c r="F15" s="2"/>
      <c r="G15" s="2"/>
    </row>
    <row r="16" spans="1:7" ht="24.5">
      <c r="A16" s="2"/>
      <c r="B16" s="21" t="s">
        <v>114</v>
      </c>
      <c r="C16" s="12"/>
      <c r="D16" s="2"/>
      <c r="E16" s="23">
        <f>E15*7%</f>
        <v>1821.7500000000002</v>
      </c>
      <c r="F16" s="2"/>
      <c r="G16" s="2"/>
    </row>
    <row r="17" spans="1:7" ht="24.5">
      <c r="A17" s="2"/>
      <c r="B17" s="20" t="s">
        <v>35</v>
      </c>
      <c r="C17" s="2"/>
      <c r="D17" s="2"/>
      <c r="E17" s="24">
        <f>SUM(E15:E16)</f>
        <v>27846.75</v>
      </c>
      <c r="F17" s="2"/>
      <c r="G17" s="2"/>
    </row>
    <row r="18" spans="1:7" ht="24.5">
      <c r="A18" s="2"/>
      <c r="B18" s="20"/>
      <c r="C18" s="2"/>
      <c r="D18" s="2"/>
      <c r="E18" s="24"/>
      <c r="F18" s="2"/>
      <c r="G18" s="2"/>
    </row>
    <row r="19" spans="1:7" ht="33">
      <c r="A19" s="2"/>
      <c r="B19" s="26" t="s">
        <v>36</v>
      </c>
      <c r="C19" s="202" t="str">
        <f>BAHTTEXT(E17)</f>
        <v>สองหมื่นเจ็ดพันแปดร้อยสี่สิบหกบาทเจ็ดสิบห้าสตางค์</v>
      </c>
      <c r="D19" s="203"/>
      <c r="E19" s="203"/>
      <c r="F19" s="203"/>
      <c r="G19" s="204"/>
    </row>
  </sheetData>
  <mergeCells count="6">
    <mergeCell ref="C19:G19"/>
    <mergeCell ref="A2:A4"/>
    <mergeCell ref="B2:B4"/>
    <mergeCell ref="C2:C4"/>
    <mergeCell ref="D2:E2"/>
    <mergeCell ref="F2:F4"/>
  </mergeCells>
  <pageMargins left="0.7" right="0.7" top="0.75" bottom="0.75" header="0.3" footer="0.3"/>
  <pageSetup paperSize="9" scale="63"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51F80-07FC-4406-8ACA-1A52FECEBDE3}">
  <dimension ref="A2:G17"/>
  <sheetViews>
    <sheetView topLeftCell="A4" zoomScale="115" zoomScaleNormal="115" workbookViewId="0">
      <selection activeCell="G9" sqref="G9"/>
    </sheetView>
  </sheetViews>
  <sheetFormatPr defaultColWidth="9.08203125" defaultRowHeight="20.5"/>
  <cols>
    <col min="1" max="1" width="9.08203125" style="1"/>
    <col min="2" max="2" width="40.25" style="1" bestFit="1" customWidth="1"/>
    <col min="3" max="3" width="7.25" style="1" bestFit="1" customWidth="1"/>
    <col min="4" max="4" width="12.33203125" style="1" bestFit="1" customWidth="1"/>
    <col min="5" max="5" width="14.83203125" style="1" bestFit="1" customWidth="1"/>
    <col min="6" max="6" width="23.08203125" style="1" bestFit="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c r="A5" s="3">
        <v>1</v>
      </c>
      <c r="B5" s="30" t="s">
        <v>108</v>
      </c>
      <c r="C5" s="34">
        <v>1</v>
      </c>
      <c r="D5" s="35">
        <v>227178.12</v>
      </c>
      <c r="E5" s="36">
        <f>C5*D5</f>
        <v>227178.12</v>
      </c>
      <c r="F5" s="3"/>
      <c r="G5" s="29"/>
    </row>
    <row r="6" spans="1:7">
      <c r="A6" s="10"/>
      <c r="B6" s="30" t="s">
        <v>109</v>
      </c>
      <c r="C6" s="12"/>
      <c r="D6" s="35"/>
      <c r="E6" s="36"/>
      <c r="F6" s="3"/>
      <c r="G6" s="29" t="s">
        <v>51</v>
      </c>
    </row>
    <row r="7" spans="1:7">
      <c r="A7" s="10"/>
      <c r="B7" s="30"/>
      <c r="C7" s="12"/>
      <c r="D7" s="13"/>
      <c r="E7" s="36"/>
      <c r="F7" s="3"/>
      <c r="G7" s="15" t="s">
        <v>110</v>
      </c>
    </row>
    <row r="8" spans="1:7">
      <c r="A8" s="10"/>
      <c r="B8" s="30"/>
      <c r="C8" s="12"/>
      <c r="D8" s="13"/>
      <c r="E8" s="14"/>
      <c r="F8" s="3"/>
      <c r="G8" s="15" t="s">
        <v>112</v>
      </c>
    </row>
    <row r="9" spans="1:7">
      <c r="A9" s="10"/>
      <c r="B9" s="30"/>
      <c r="C9" s="12"/>
      <c r="D9" s="13"/>
      <c r="E9" s="36"/>
      <c r="F9" s="3"/>
      <c r="G9" s="15" t="s">
        <v>111</v>
      </c>
    </row>
    <row r="10" spans="1:7">
      <c r="A10" s="10"/>
      <c r="B10" s="30"/>
      <c r="C10" s="12"/>
      <c r="D10" s="13"/>
      <c r="E10" s="36"/>
      <c r="F10" s="3"/>
      <c r="G10" s="2"/>
    </row>
    <row r="11" spans="1:7">
      <c r="A11" s="10"/>
      <c r="B11" s="32"/>
      <c r="C11" s="12"/>
      <c r="D11" s="13"/>
      <c r="E11" s="36"/>
      <c r="F11" s="3"/>
      <c r="G11" s="29" t="s">
        <v>50</v>
      </c>
    </row>
    <row r="12" spans="1:7">
      <c r="A12" s="10"/>
      <c r="B12" s="30"/>
      <c r="C12" s="12"/>
      <c r="D12" s="13"/>
      <c r="E12" s="36"/>
      <c r="F12" s="3"/>
      <c r="G12" s="31" t="s">
        <v>33</v>
      </c>
    </row>
    <row r="13" spans="1:7" ht="23">
      <c r="A13" s="2"/>
      <c r="B13" s="21" t="s">
        <v>6</v>
      </c>
      <c r="C13" s="12"/>
      <c r="D13" s="2"/>
      <c r="E13" s="22">
        <f>SUM(E5:E12)</f>
        <v>227178.12</v>
      </c>
      <c r="F13" s="2"/>
      <c r="G13" s="31" t="s">
        <v>29</v>
      </c>
    </row>
    <row r="14" spans="1:7" ht="24.5">
      <c r="A14" s="2"/>
      <c r="B14" s="21" t="s">
        <v>114</v>
      </c>
      <c r="C14" s="12"/>
      <c r="D14" s="2"/>
      <c r="E14" s="23">
        <v>0</v>
      </c>
      <c r="F14" s="2"/>
      <c r="G14" s="27" t="s">
        <v>113</v>
      </c>
    </row>
    <row r="15" spans="1:7" ht="24.5">
      <c r="A15" s="2"/>
      <c r="B15" s="20" t="s">
        <v>35</v>
      </c>
      <c r="C15" s="2"/>
      <c r="D15" s="2"/>
      <c r="E15" s="24">
        <f>SUM(E13:E14)</f>
        <v>227178.12</v>
      </c>
      <c r="F15" s="2"/>
      <c r="G15" s="2"/>
    </row>
    <row r="16" spans="1:7" ht="24.5">
      <c r="A16" s="2"/>
      <c r="B16" s="20"/>
      <c r="C16" s="2"/>
      <c r="D16" s="2"/>
      <c r="E16" s="24"/>
      <c r="F16" s="2"/>
      <c r="G16" s="2"/>
    </row>
    <row r="17" spans="1:7" ht="33">
      <c r="A17" s="2"/>
      <c r="B17" s="26" t="s">
        <v>36</v>
      </c>
      <c r="C17" s="202" t="str">
        <f>BAHTTEXT(E15)</f>
        <v>สองแสนสองหมื่นเจ็ดพันหนึ่งร้อยเจ็ดสิบแปดบาทสิบสองสตางค์</v>
      </c>
      <c r="D17" s="203"/>
      <c r="E17" s="203"/>
      <c r="F17" s="203"/>
      <c r="G17" s="204"/>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C7C84-3401-4F4C-B51C-055FC3E08872}">
  <dimension ref="A2:G17"/>
  <sheetViews>
    <sheetView topLeftCell="A4" zoomScale="115" zoomScaleNormal="115" workbookViewId="0">
      <selection activeCell="F12" sqref="F12"/>
    </sheetView>
  </sheetViews>
  <sheetFormatPr defaultColWidth="9.08203125" defaultRowHeight="20.5"/>
  <cols>
    <col min="1" max="1" width="9.08203125" style="1"/>
    <col min="2" max="2" width="40.25" style="1" bestFit="1" customWidth="1"/>
    <col min="3" max="3" width="7.25" style="1" bestFit="1" customWidth="1"/>
    <col min="4" max="4" width="11.25" style="1" bestFit="1" customWidth="1"/>
    <col min="5" max="5" width="14.83203125" style="1" bestFit="1" customWidth="1"/>
    <col min="6" max="6" width="23.08203125" style="1" bestFit="1" customWidth="1"/>
    <col min="7" max="7" width="29.25" style="1" customWidth="1"/>
    <col min="8" max="16384" width="9.08203125" style="1"/>
  </cols>
  <sheetData>
    <row r="2" spans="1:7" ht="21" customHeight="1">
      <c r="A2" s="183" t="s">
        <v>0</v>
      </c>
      <c r="B2" s="186" t="s">
        <v>1</v>
      </c>
      <c r="C2" s="183" t="s">
        <v>2</v>
      </c>
      <c r="D2" s="189" t="s">
        <v>3</v>
      </c>
      <c r="E2" s="190"/>
      <c r="F2" s="186" t="s">
        <v>7</v>
      </c>
      <c r="G2" s="4" t="s">
        <v>8</v>
      </c>
    </row>
    <row r="3" spans="1:7">
      <c r="A3" s="184"/>
      <c r="B3" s="187"/>
      <c r="C3" s="184"/>
      <c r="D3" s="5" t="s">
        <v>5</v>
      </c>
      <c r="E3" s="6" t="s">
        <v>6</v>
      </c>
      <c r="F3" s="187"/>
      <c r="G3" s="7" t="s">
        <v>9</v>
      </c>
    </row>
    <row r="4" spans="1:7">
      <c r="A4" s="185"/>
      <c r="B4" s="188"/>
      <c r="C4" s="185"/>
      <c r="D4" s="8" t="s">
        <v>4</v>
      </c>
      <c r="E4" s="8" t="s">
        <v>4</v>
      </c>
      <c r="F4" s="188"/>
      <c r="G4" s="9" t="s">
        <v>10</v>
      </c>
    </row>
    <row r="5" spans="1:7" ht="41">
      <c r="A5" s="3">
        <v>1</v>
      </c>
      <c r="B5" s="30" t="s">
        <v>107</v>
      </c>
      <c r="C5" s="34">
        <v>40</v>
      </c>
      <c r="D5" s="35">
        <v>45</v>
      </c>
      <c r="E5" s="36">
        <f>C5*D5</f>
        <v>1800</v>
      </c>
      <c r="F5" s="3">
        <v>30</v>
      </c>
      <c r="G5" s="29"/>
    </row>
    <row r="6" spans="1:7">
      <c r="A6" s="10"/>
      <c r="B6" s="30"/>
      <c r="C6" s="12"/>
      <c r="D6" s="35"/>
      <c r="E6" s="36"/>
      <c r="F6" s="3"/>
      <c r="G6" s="29" t="s">
        <v>51</v>
      </c>
    </row>
    <row r="7" spans="1:7">
      <c r="A7" s="10"/>
      <c r="B7" s="30"/>
      <c r="C7" s="12"/>
      <c r="D7" s="13"/>
      <c r="E7" s="36"/>
      <c r="F7" s="3"/>
      <c r="G7" s="15" t="s">
        <v>29</v>
      </c>
    </row>
    <row r="8" spans="1:7">
      <c r="A8" s="10"/>
      <c r="B8" s="30"/>
      <c r="C8" s="12"/>
      <c r="D8" s="13"/>
      <c r="E8" s="14"/>
      <c r="F8" s="3"/>
      <c r="G8" s="15" t="s">
        <v>28</v>
      </c>
    </row>
    <row r="9" spans="1:7">
      <c r="A9" s="10"/>
      <c r="B9" s="30"/>
      <c r="C9" s="12"/>
      <c r="D9" s="13"/>
      <c r="E9" s="36"/>
      <c r="F9" s="3"/>
      <c r="G9" s="15" t="s">
        <v>30</v>
      </c>
    </row>
    <row r="10" spans="1:7">
      <c r="A10" s="10"/>
      <c r="B10" s="30"/>
      <c r="C10" s="12"/>
      <c r="D10" s="13"/>
      <c r="E10" s="36"/>
      <c r="F10" s="3"/>
      <c r="G10" s="2"/>
    </row>
    <row r="11" spans="1:7">
      <c r="A11" s="10"/>
      <c r="B11" s="32"/>
      <c r="C11" s="12"/>
      <c r="D11" s="13"/>
      <c r="E11" s="36"/>
      <c r="F11" s="3"/>
      <c r="G11" s="29" t="s">
        <v>50</v>
      </c>
    </row>
    <row r="12" spans="1:7">
      <c r="A12" s="10"/>
      <c r="B12" s="30"/>
      <c r="C12" s="12"/>
      <c r="D12" s="13"/>
      <c r="E12" s="36"/>
      <c r="F12" s="3"/>
      <c r="G12" s="31" t="s">
        <v>31</v>
      </c>
    </row>
    <row r="13" spans="1:7" ht="23">
      <c r="A13" s="2"/>
      <c r="B13" s="21" t="s">
        <v>6</v>
      </c>
      <c r="C13" s="12"/>
      <c r="D13" s="2"/>
      <c r="E13" s="22">
        <f>SUM(E5:E12)</f>
        <v>1800</v>
      </c>
      <c r="F13" s="2"/>
      <c r="G13" s="31" t="s">
        <v>32</v>
      </c>
    </row>
    <row r="14" spans="1:7" ht="24.5">
      <c r="A14" s="2"/>
      <c r="B14" s="21" t="s">
        <v>34</v>
      </c>
      <c r="C14" s="12"/>
      <c r="D14" s="2"/>
      <c r="E14" s="23">
        <f>E13*7%</f>
        <v>126.00000000000001</v>
      </c>
      <c r="F14" s="2"/>
      <c r="G14" s="27" t="s">
        <v>33</v>
      </c>
    </row>
    <row r="15" spans="1:7" ht="24.5">
      <c r="A15" s="2"/>
      <c r="B15" s="20" t="s">
        <v>35</v>
      </c>
      <c r="C15" s="2"/>
      <c r="D15" s="2"/>
      <c r="E15" s="24">
        <f>SUM(E13:E14)</f>
        <v>1926</v>
      </c>
      <c r="F15" s="2"/>
      <c r="G15" s="2"/>
    </row>
    <row r="16" spans="1:7" ht="24.5">
      <c r="A16" s="2"/>
      <c r="B16" s="20"/>
      <c r="C16" s="2"/>
      <c r="D16" s="2"/>
      <c r="E16" s="24"/>
      <c r="F16" s="2"/>
      <c r="G16" s="2"/>
    </row>
    <row r="17" spans="1:7" ht="33">
      <c r="A17" s="2"/>
      <c r="B17" s="26" t="s">
        <v>36</v>
      </c>
      <c r="C17" s="202" t="str">
        <f>BAHTTEXT(E15)</f>
        <v>หนึ่งพันเก้าร้อยยี่สิบหกบาทถ้วน</v>
      </c>
      <c r="D17" s="203"/>
      <c r="E17" s="203"/>
      <c r="F17" s="203"/>
      <c r="G17" s="204"/>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0B20-50F8-43FD-A70A-F2C52126E0B9}">
  <dimension ref="A2:G17"/>
  <sheetViews>
    <sheetView zoomScale="115" zoomScaleNormal="115" workbookViewId="0">
      <selection activeCell="A2" sqref="A2:G17"/>
    </sheetView>
  </sheetViews>
  <sheetFormatPr defaultColWidth="9.08203125" defaultRowHeight="20.5"/>
  <cols>
    <col min="1" max="1" width="9.08203125" style="1"/>
    <col min="2" max="2" width="44.08203125" style="1" customWidth="1"/>
    <col min="3" max="3" width="9.08203125" style="1"/>
    <col min="4" max="4" width="10.75" style="1" bestFit="1" customWidth="1"/>
    <col min="5" max="5" width="14.83203125" style="1" bestFit="1" customWidth="1"/>
    <col min="6" max="6" width="23.0820312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3">
        <v>1</v>
      </c>
      <c r="B5" s="30" t="s">
        <v>103</v>
      </c>
      <c r="C5" s="34">
        <v>40</v>
      </c>
      <c r="D5" s="35">
        <v>520</v>
      </c>
      <c r="E5" s="36">
        <f>C5*D5</f>
        <v>20800</v>
      </c>
      <c r="F5" s="3">
        <v>30</v>
      </c>
      <c r="G5" s="29"/>
    </row>
    <row r="6" spans="1:7">
      <c r="A6" s="10">
        <v>2</v>
      </c>
      <c r="B6" s="30" t="s">
        <v>104</v>
      </c>
      <c r="C6" s="12">
        <v>30</v>
      </c>
      <c r="D6" s="35">
        <v>1500</v>
      </c>
      <c r="E6" s="36">
        <f>C6*D6</f>
        <v>45000</v>
      </c>
      <c r="F6" s="3">
        <v>30</v>
      </c>
      <c r="G6" s="29" t="s">
        <v>51</v>
      </c>
    </row>
    <row r="7" spans="1:7">
      <c r="A7" s="10">
        <v>3</v>
      </c>
      <c r="B7" s="30" t="s">
        <v>105</v>
      </c>
      <c r="C7" s="12">
        <v>16</v>
      </c>
      <c r="D7" s="13">
        <v>520</v>
      </c>
      <c r="E7" s="14">
        <f t="shared" ref="E7" si="0">C7*D7</f>
        <v>8320</v>
      </c>
      <c r="F7" s="3">
        <v>30</v>
      </c>
      <c r="G7" s="15" t="s">
        <v>29</v>
      </c>
    </row>
    <row r="8" spans="1:7">
      <c r="A8" s="10">
        <v>4</v>
      </c>
      <c r="B8" s="30" t="s">
        <v>106</v>
      </c>
      <c r="C8" s="12">
        <v>40</v>
      </c>
      <c r="D8" s="13">
        <v>220</v>
      </c>
      <c r="E8" s="14">
        <f>C8*D8</f>
        <v>8800</v>
      </c>
      <c r="F8" s="3">
        <v>30</v>
      </c>
      <c r="G8" s="15" t="s">
        <v>28</v>
      </c>
    </row>
    <row r="9" spans="1:7">
      <c r="A9" s="10"/>
      <c r="B9" s="30"/>
      <c r="C9" s="12"/>
      <c r="D9" s="13"/>
      <c r="E9" s="36"/>
      <c r="F9" s="3"/>
      <c r="G9" s="15" t="s">
        <v>30</v>
      </c>
    </row>
    <row r="10" spans="1:7">
      <c r="A10" s="10"/>
      <c r="B10" s="30"/>
      <c r="C10" s="12"/>
      <c r="D10" s="13"/>
      <c r="E10" s="36"/>
      <c r="F10" s="3"/>
      <c r="G10" s="15"/>
    </row>
    <row r="11" spans="1:7">
      <c r="A11" s="10"/>
      <c r="B11" s="32"/>
      <c r="C11" s="12"/>
      <c r="D11" s="13"/>
      <c r="E11" s="36"/>
      <c r="F11" s="3"/>
      <c r="G11" s="29" t="s">
        <v>50</v>
      </c>
    </row>
    <row r="12" spans="1:7">
      <c r="A12" s="10"/>
      <c r="B12" s="30"/>
      <c r="C12" s="12"/>
      <c r="D12" s="13"/>
      <c r="E12" s="36"/>
      <c r="F12" s="3"/>
      <c r="G12" s="31" t="s">
        <v>31</v>
      </c>
    </row>
    <row r="13" spans="1:7" ht="23">
      <c r="A13" s="2"/>
      <c r="B13" s="21" t="s">
        <v>6</v>
      </c>
      <c r="C13" s="12"/>
      <c r="D13" s="2"/>
      <c r="E13" s="22">
        <f>SUM(E5:E12)</f>
        <v>82920</v>
      </c>
      <c r="F13" s="2"/>
      <c r="G13" s="31" t="s">
        <v>32</v>
      </c>
    </row>
    <row r="14" spans="1:7" ht="24.5">
      <c r="A14" s="2"/>
      <c r="B14" s="21" t="s">
        <v>34</v>
      </c>
      <c r="C14" s="12"/>
      <c r="D14" s="2"/>
      <c r="E14" s="23">
        <f>E13*7%</f>
        <v>5804.4000000000005</v>
      </c>
      <c r="F14" s="2"/>
      <c r="G14" s="27" t="s">
        <v>33</v>
      </c>
    </row>
    <row r="15" spans="1:7" ht="24.5">
      <c r="A15" s="2"/>
      <c r="B15" s="20" t="s">
        <v>35</v>
      </c>
      <c r="C15" s="2"/>
      <c r="D15" s="2"/>
      <c r="E15" s="24">
        <f>SUM(E13:E14)</f>
        <v>88724.4</v>
      </c>
      <c r="F15" s="2"/>
      <c r="G15" s="2"/>
    </row>
    <row r="16" spans="1:7" ht="24.5">
      <c r="A16" s="2"/>
      <c r="B16" s="20"/>
      <c r="C16" s="2"/>
      <c r="D16" s="2"/>
      <c r="E16" s="24"/>
      <c r="F16" s="2"/>
      <c r="G16" s="2"/>
    </row>
    <row r="17" spans="1:7" ht="33">
      <c r="A17" s="2"/>
      <c r="B17" s="26" t="s">
        <v>36</v>
      </c>
      <c r="C17" s="202" t="str">
        <f>BAHTTEXT(E15)</f>
        <v>แปดหมื่นแปดพันเจ็ดร้อยยี่สิบสี่บาทสี่สิบสตางค์</v>
      </c>
      <c r="D17" s="203"/>
      <c r="E17" s="203"/>
      <c r="F17" s="203"/>
      <c r="G17" s="204"/>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DDEF7-273F-42AD-B870-2553879F3BEE}">
  <dimension ref="A2:G17"/>
  <sheetViews>
    <sheetView topLeftCell="A4" zoomScale="115" zoomScaleNormal="115" workbookViewId="0">
      <selection activeCell="A2" sqref="A2:G17"/>
    </sheetView>
  </sheetViews>
  <sheetFormatPr defaultColWidth="9.08203125" defaultRowHeight="20.5"/>
  <cols>
    <col min="1" max="1" width="9.08203125" style="1"/>
    <col min="2" max="2" width="44.08203125" style="1" customWidth="1"/>
    <col min="3" max="3" width="9.08203125" style="1"/>
    <col min="4" max="4" width="10.75" style="1" bestFit="1" customWidth="1"/>
    <col min="5" max="5" width="14.83203125" style="1" bestFit="1" customWidth="1"/>
    <col min="6" max="6" width="35.58203125"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3">
        <v>1</v>
      </c>
      <c r="B5" s="30" t="s">
        <v>95</v>
      </c>
      <c r="C5" s="34">
        <v>4</v>
      </c>
      <c r="D5" s="35">
        <v>6500</v>
      </c>
      <c r="E5" s="36">
        <f>C5*D5</f>
        <v>26000</v>
      </c>
      <c r="F5" s="3">
        <v>30</v>
      </c>
      <c r="G5" s="29"/>
    </row>
    <row r="6" spans="1:7">
      <c r="A6" s="10">
        <v>2</v>
      </c>
      <c r="B6" s="30" t="s">
        <v>96</v>
      </c>
      <c r="C6" s="12">
        <v>10</v>
      </c>
      <c r="D6" s="35">
        <v>4800</v>
      </c>
      <c r="E6" s="36">
        <f>C6*D6</f>
        <v>48000</v>
      </c>
      <c r="F6" s="3">
        <v>30</v>
      </c>
      <c r="G6" s="29" t="s">
        <v>51</v>
      </c>
    </row>
    <row r="7" spans="1:7">
      <c r="A7" s="10">
        <v>3</v>
      </c>
      <c r="B7" s="30" t="s">
        <v>97</v>
      </c>
      <c r="C7" s="12">
        <v>10</v>
      </c>
      <c r="D7" s="13">
        <v>5400</v>
      </c>
      <c r="E7" s="36">
        <f t="shared" ref="E7:E12" si="0">C7*D7</f>
        <v>54000</v>
      </c>
      <c r="F7" s="3">
        <v>30</v>
      </c>
      <c r="G7" s="15" t="s">
        <v>28</v>
      </c>
    </row>
    <row r="8" spans="1:7" ht="41">
      <c r="A8" s="10">
        <v>4</v>
      </c>
      <c r="B8" s="30" t="s">
        <v>98</v>
      </c>
      <c r="C8" s="12">
        <v>5</v>
      </c>
      <c r="D8" s="13">
        <v>7800</v>
      </c>
      <c r="E8" s="14">
        <f>C8*D8</f>
        <v>39000</v>
      </c>
      <c r="F8" s="3">
        <v>30</v>
      </c>
      <c r="G8" s="15" t="s">
        <v>30</v>
      </c>
    </row>
    <row r="9" spans="1:7">
      <c r="A9" s="10">
        <v>5</v>
      </c>
      <c r="B9" s="30" t="s">
        <v>99</v>
      </c>
      <c r="C9" s="12">
        <v>5</v>
      </c>
      <c r="D9" s="13">
        <v>6150</v>
      </c>
      <c r="E9" s="36">
        <f t="shared" si="0"/>
        <v>30750</v>
      </c>
      <c r="F9" s="3">
        <v>30</v>
      </c>
      <c r="G9" s="15" t="s">
        <v>29</v>
      </c>
    </row>
    <row r="10" spans="1:7">
      <c r="A10" s="10">
        <v>6</v>
      </c>
      <c r="B10" s="30" t="s">
        <v>100</v>
      </c>
      <c r="C10" s="12">
        <v>6</v>
      </c>
      <c r="D10" s="13">
        <v>2800</v>
      </c>
      <c r="E10" s="36">
        <f t="shared" si="0"/>
        <v>16800</v>
      </c>
      <c r="F10" s="3">
        <v>30</v>
      </c>
      <c r="G10" s="33"/>
    </row>
    <row r="11" spans="1:7">
      <c r="A11" s="10">
        <v>7</v>
      </c>
      <c r="B11" s="32" t="s">
        <v>101</v>
      </c>
      <c r="C11" s="12">
        <v>2</v>
      </c>
      <c r="D11" s="13">
        <v>8600</v>
      </c>
      <c r="E11" s="36">
        <f t="shared" si="0"/>
        <v>17200</v>
      </c>
      <c r="F11" s="3">
        <v>30</v>
      </c>
      <c r="G11" s="29" t="s">
        <v>50</v>
      </c>
    </row>
    <row r="12" spans="1:7">
      <c r="A12" s="10">
        <v>8</v>
      </c>
      <c r="B12" s="30" t="s">
        <v>102</v>
      </c>
      <c r="C12" s="12">
        <v>1</v>
      </c>
      <c r="D12" s="13">
        <v>3100</v>
      </c>
      <c r="E12" s="36">
        <f t="shared" si="0"/>
        <v>3100</v>
      </c>
      <c r="F12" s="3">
        <v>30</v>
      </c>
      <c r="G12" s="31" t="s">
        <v>31</v>
      </c>
    </row>
    <row r="13" spans="1:7" ht="23">
      <c r="A13" s="2"/>
      <c r="B13" s="21" t="s">
        <v>6</v>
      </c>
      <c r="C13" s="12"/>
      <c r="D13" s="2"/>
      <c r="E13" s="22">
        <f>SUM(E5:E12)</f>
        <v>234850</v>
      </c>
      <c r="F13" s="2"/>
      <c r="G13" s="31" t="s">
        <v>32</v>
      </c>
    </row>
    <row r="14" spans="1:7" ht="24.5">
      <c r="A14" s="2"/>
      <c r="B14" s="21" t="s">
        <v>34</v>
      </c>
      <c r="C14" s="12"/>
      <c r="D14" s="2"/>
      <c r="E14" s="23">
        <f>E13*7%</f>
        <v>16439.5</v>
      </c>
      <c r="F14" s="2"/>
      <c r="G14" s="27" t="s">
        <v>33</v>
      </c>
    </row>
    <row r="15" spans="1:7" ht="24.5">
      <c r="A15" s="2"/>
      <c r="B15" s="20" t="s">
        <v>35</v>
      </c>
      <c r="C15" s="2"/>
      <c r="D15" s="2"/>
      <c r="E15" s="24">
        <f>SUM(E13:E14)</f>
        <v>251289.5</v>
      </c>
      <c r="F15" s="2"/>
      <c r="G15" s="2"/>
    </row>
    <row r="16" spans="1:7" ht="24.5">
      <c r="A16" s="2"/>
      <c r="B16" s="20"/>
      <c r="C16" s="2"/>
      <c r="D16" s="2"/>
      <c r="E16" s="24"/>
      <c r="F16" s="2"/>
      <c r="G16" s="2"/>
    </row>
    <row r="17" spans="1:7" ht="33">
      <c r="A17" s="2"/>
      <c r="B17" s="26" t="s">
        <v>36</v>
      </c>
      <c r="C17" s="202" t="str">
        <f>BAHTTEXT(E15)</f>
        <v>สองแสนห้าหมื่นหนึ่งพันสองร้อยแปดสิบเก้าบาทห้าสิบสตางค์</v>
      </c>
      <c r="D17" s="203"/>
      <c r="E17" s="203"/>
      <c r="F17" s="203"/>
      <c r="G17" s="204"/>
    </row>
  </sheetData>
  <mergeCells count="6">
    <mergeCell ref="C17:G17"/>
    <mergeCell ref="A2:A4"/>
    <mergeCell ref="B2:B4"/>
    <mergeCell ref="C2:C4"/>
    <mergeCell ref="D2:E2"/>
    <mergeCell ref="F2:F4"/>
  </mergeCells>
  <pageMargins left="0.7" right="0.7" top="0.75" bottom="0.75" header="0.3" footer="0.3"/>
  <pageSetup paperSize="9" scale="63"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2226-F228-4126-B539-DA1FFD79A2AF}">
  <dimension ref="A2:G21"/>
  <sheetViews>
    <sheetView topLeftCell="A5" zoomScale="85" zoomScaleNormal="85" workbookViewId="0">
      <selection activeCell="L15" sqref="L15"/>
    </sheetView>
  </sheetViews>
  <sheetFormatPr defaultColWidth="9.08203125" defaultRowHeight="20.5"/>
  <cols>
    <col min="1" max="1" width="9.08203125" style="1"/>
    <col min="2" max="2" width="42.58203125" style="1" bestFit="1" customWidth="1"/>
    <col min="3" max="3" width="9.08203125" style="1"/>
    <col min="4" max="4" width="10.75" style="1" bestFit="1" customWidth="1"/>
    <col min="5" max="5" width="12.83203125" style="1" bestFit="1" customWidth="1"/>
    <col min="6" max="6" width="31.33203125"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ht="41">
      <c r="A5" s="3">
        <v>1</v>
      </c>
      <c r="B5" s="30" t="s">
        <v>84</v>
      </c>
      <c r="C5" s="34">
        <v>2</v>
      </c>
      <c r="D5" s="35">
        <v>2590</v>
      </c>
      <c r="E5" s="36">
        <f>C5*D5</f>
        <v>5180</v>
      </c>
      <c r="F5" s="3">
        <v>30</v>
      </c>
      <c r="G5" s="29"/>
    </row>
    <row r="6" spans="1:7" ht="41">
      <c r="A6" s="10">
        <v>2</v>
      </c>
      <c r="B6" s="30" t="s">
        <v>85</v>
      </c>
      <c r="C6" s="12">
        <v>4</v>
      </c>
      <c r="D6" s="35">
        <v>2590</v>
      </c>
      <c r="E6" s="36">
        <f>C6*D6</f>
        <v>10360</v>
      </c>
      <c r="F6" s="3">
        <v>30</v>
      </c>
      <c r="G6" s="29" t="s">
        <v>51</v>
      </c>
    </row>
    <row r="7" spans="1:7" ht="41">
      <c r="A7" s="10">
        <v>3</v>
      </c>
      <c r="B7" s="30" t="s">
        <v>86</v>
      </c>
      <c r="C7" s="12">
        <v>3</v>
      </c>
      <c r="D7" s="13">
        <v>2655</v>
      </c>
      <c r="E7" s="36">
        <f t="shared" ref="E7:E16" si="0">C7*D7</f>
        <v>7965</v>
      </c>
      <c r="F7" s="3">
        <v>30</v>
      </c>
      <c r="G7" s="15" t="s">
        <v>28</v>
      </c>
    </row>
    <row r="8" spans="1:7">
      <c r="A8" s="10">
        <v>4</v>
      </c>
      <c r="B8" s="30" t="s">
        <v>87</v>
      </c>
      <c r="C8" s="12">
        <v>10</v>
      </c>
      <c r="D8" s="13">
        <v>590</v>
      </c>
      <c r="E8" s="36">
        <f t="shared" si="0"/>
        <v>5900</v>
      </c>
      <c r="F8" s="3">
        <v>30</v>
      </c>
      <c r="G8" s="15" t="s">
        <v>30</v>
      </c>
    </row>
    <row r="9" spans="1:7">
      <c r="A9" s="10">
        <v>5</v>
      </c>
      <c r="B9" s="30" t="s">
        <v>88</v>
      </c>
      <c r="C9" s="12">
        <v>10</v>
      </c>
      <c r="D9" s="13">
        <v>115</v>
      </c>
      <c r="E9" s="36">
        <f t="shared" si="0"/>
        <v>1150</v>
      </c>
      <c r="F9" s="3">
        <v>30</v>
      </c>
      <c r="G9" s="15" t="s">
        <v>48</v>
      </c>
    </row>
    <row r="10" spans="1:7">
      <c r="A10" s="10">
        <v>6</v>
      </c>
      <c r="B10" s="30" t="s">
        <v>89</v>
      </c>
      <c r="C10" s="12">
        <v>2</v>
      </c>
      <c r="D10" s="13">
        <v>4990</v>
      </c>
      <c r="E10" s="36">
        <f t="shared" si="0"/>
        <v>9980</v>
      </c>
      <c r="F10" s="3">
        <v>30</v>
      </c>
      <c r="G10" s="33"/>
    </row>
    <row r="11" spans="1:7">
      <c r="A11" s="10">
        <v>7</v>
      </c>
      <c r="B11" s="32" t="s">
        <v>52</v>
      </c>
      <c r="C11" s="12">
        <v>5</v>
      </c>
      <c r="D11" s="13">
        <v>290</v>
      </c>
      <c r="E11" s="36">
        <f t="shared" si="0"/>
        <v>1450</v>
      </c>
      <c r="F11" s="3">
        <v>30</v>
      </c>
      <c r="G11" s="29" t="s">
        <v>50</v>
      </c>
    </row>
    <row r="12" spans="1:7">
      <c r="A12" s="10">
        <v>8</v>
      </c>
      <c r="B12" s="30" t="s">
        <v>90</v>
      </c>
      <c r="C12" s="12">
        <v>60</v>
      </c>
      <c r="D12" s="13">
        <v>99</v>
      </c>
      <c r="E12" s="36">
        <f t="shared" si="0"/>
        <v>5940</v>
      </c>
      <c r="F12" s="3">
        <v>30</v>
      </c>
      <c r="G12" s="31" t="s">
        <v>32</v>
      </c>
    </row>
    <row r="13" spans="1:7">
      <c r="A13" s="10">
        <v>9</v>
      </c>
      <c r="B13" s="30" t="s">
        <v>91</v>
      </c>
      <c r="C13" s="12">
        <v>1</v>
      </c>
      <c r="D13" s="13">
        <v>265</v>
      </c>
      <c r="E13" s="36">
        <f t="shared" si="0"/>
        <v>265</v>
      </c>
      <c r="F13" s="3">
        <v>30</v>
      </c>
      <c r="G13" s="31" t="s">
        <v>33</v>
      </c>
    </row>
    <row r="14" spans="1:7">
      <c r="A14" s="10">
        <v>10</v>
      </c>
      <c r="B14" s="30" t="s">
        <v>92</v>
      </c>
      <c r="C14" s="12">
        <v>1</v>
      </c>
      <c r="D14" s="13">
        <v>159</v>
      </c>
      <c r="E14" s="36">
        <f t="shared" si="0"/>
        <v>159</v>
      </c>
      <c r="F14" s="3">
        <v>30</v>
      </c>
      <c r="G14" s="15" t="s">
        <v>29</v>
      </c>
    </row>
    <row r="15" spans="1:7" ht="41">
      <c r="A15" s="10">
        <v>11</v>
      </c>
      <c r="B15" s="30" t="s">
        <v>93</v>
      </c>
      <c r="C15" s="12">
        <v>10</v>
      </c>
      <c r="D15" s="13">
        <v>200</v>
      </c>
      <c r="E15" s="14">
        <f t="shared" si="0"/>
        <v>2000</v>
      </c>
      <c r="F15" s="3">
        <v>30</v>
      </c>
      <c r="G15" s="15"/>
    </row>
    <row r="16" spans="1:7">
      <c r="A16" s="10">
        <v>12</v>
      </c>
      <c r="B16" s="30" t="s">
        <v>94</v>
      </c>
      <c r="C16" s="12">
        <v>30</v>
      </c>
      <c r="D16" s="13">
        <v>159</v>
      </c>
      <c r="E16" s="14">
        <f t="shared" si="0"/>
        <v>4770</v>
      </c>
      <c r="F16" s="3">
        <v>30</v>
      </c>
      <c r="G16" s="15"/>
    </row>
    <row r="17" spans="1:7" ht="23">
      <c r="A17" s="2"/>
      <c r="B17" s="21" t="s">
        <v>6</v>
      </c>
      <c r="C17" s="12"/>
      <c r="D17" s="2"/>
      <c r="E17" s="22">
        <f>SUM(E5:E16)</f>
        <v>55119</v>
      </c>
      <c r="F17" s="2"/>
      <c r="G17" s="2"/>
    </row>
    <row r="18" spans="1:7" ht="24.5">
      <c r="A18" s="2"/>
      <c r="B18" s="21" t="s">
        <v>34</v>
      </c>
      <c r="C18" s="12"/>
      <c r="D18" s="2"/>
      <c r="E18" s="23">
        <f>E17*7%</f>
        <v>3858.3300000000004</v>
      </c>
      <c r="F18" s="2"/>
      <c r="G18" s="2"/>
    </row>
    <row r="19" spans="1:7" ht="24.5">
      <c r="A19" s="2"/>
      <c r="B19" s="20" t="s">
        <v>35</v>
      </c>
      <c r="C19" s="2"/>
      <c r="D19" s="2"/>
      <c r="E19" s="24">
        <f>SUM(E17:E18)</f>
        <v>58977.33</v>
      </c>
      <c r="F19" s="2"/>
      <c r="G19" s="2"/>
    </row>
    <row r="20" spans="1:7" ht="24.5">
      <c r="A20" s="2"/>
      <c r="B20" s="20"/>
      <c r="C20" s="2"/>
      <c r="D20" s="2"/>
      <c r="E20" s="24"/>
      <c r="F20" s="2"/>
      <c r="G20" s="2"/>
    </row>
    <row r="21" spans="1:7" ht="33">
      <c r="A21" s="2"/>
      <c r="B21" s="26" t="s">
        <v>36</v>
      </c>
      <c r="C21" s="205" t="str">
        <f>BAHTTEXT(E19)</f>
        <v>ห้าหมื่นแปดพันเก้าร้อยเจ็ดสิบเจ็ดบาทสามสิบสามสตางค์</v>
      </c>
      <c r="D21" s="205"/>
      <c r="E21" s="205"/>
      <c r="F21" s="205"/>
      <c r="G21" s="2"/>
    </row>
  </sheetData>
  <mergeCells count="6">
    <mergeCell ref="C21:F21"/>
    <mergeCell ref="A2:A4"/>
    <mergeCell ref="B2:B4"/>
    <mergeCell ref="C2:C4"/>
    <mergeCell ref="D2:E2"/>
    <mergeCell ref="F2:F4"/>
  </mergeCells>
  <pageMargins left="0.7" right="0.7" top="0.75" bottom="0.75" header="0.3" footer="0.3"/>
  <pageSetup paperSize="9" scale="63"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E96E-47AC-43BE-9C14-C4308D59829B}">
  <dimension ref="A2:G16"/>
  <sheetViews>
    <sheetView topLeftCell="A4" zoomScaleNormal="100" workbookViewId="0">
      <selection activeCell="B13" sqref="B13"/>
    </sheetView>
  </sheetViews>
  <sheetFormatPr defaultColWidth="9.08203125" defaultRowHeight="20.5"/>
  <cols>
    <col min="1" max="1" width="9.08203125" style="1"/>
    <col min="2" max="2" width="52.75" style="1" customWidth="1"/>
    <col min="3" max="3" width="9.08203125" style="1"/>
    <col min="4" max="4" width="10.75" style="1" bestFit="1" customWidth="1"/>
    <col min="5" max="5" width="12.83203125" style="1" bestFit="1" customWidth="1"/>
    <col min="6" max="6" width="13.7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11" t="s">
        <v>82</v>
      </c>
      <c r="C5" s="12">
        <v>4</v>
      </c>
      <c r="D5" s="13">
        <v>5500</v>
      </c>
      <c r="E5" s="14">
        <f>D5*C5</f>
        <v>22000</v>
      </c>
      <c r="F5" s="10">
        <v>30</v>
      </c>
      <c r="G5" s="29" t="s">
        <v>49</v>
      </c>
    </row>
    <row r="6" spans="1:7">
      <c r="A6" s="10"/>
      <c r="B6" s="11" t="s">
        <v>81</v>
      </c>
      <c r="C6" s="12"/>
      <c r="D6" s="13"/>
      <c r="E6" s="14"/>
      <c r="F6" s="10"/>
      <c r="G6" s="15" t="s">
        <v>48</v>
      </c>
    </row>
    <row r="7" spans="1:7" ht="41">
      <c r="A7" s="10"/>
      <c r="B7" s="11" t="s">
        <v>83</v>
      </c>
      <c r="C7" s="12"/>
      <c r="D7" s="13"/>
      <c r="E7" s="14"/>
      <c r="F7" s="10"/>
      <c r="G7" s="15" t="s">
        <v>30</v>
      </c>
    </row>
    <row r="8" spans="1:7">
      <c r="A8" s="10"/>
      <c r="B8" s="11"/>
      <c r="C8" s="12"/>
      <c r="D8" s="13"/>
      <c r="E8" s="14"/>
      <c r="F8" s="10"/>
      <c r="G8" s="15" t="s">
        <v>28</v>
      </c>
    </row>
    <row r="9" spans="1:7">
      <c r="A9" s="10"/>
      <c r="B9" s="11"/>
      <c r="C9" s="12"/>
      <c r="D9" s="13"/>
      <c r="E9" s="14"/>
      <c r="F9" s="10"/>
      <c r="G9" s="15"/>
    </row>
    <row r="10" spans="1:7">
      <c r="A10" s="10"/>
      <c r="B10" s="11"/>
      <c r="C10" s="12"/>
      <c r="D10" s="16"/>
      <c r="E10" s="14"/>
      <c r="F10" s="10"/>
      <c r="G10" s="28" t="s">
        <v>50</v>
      </c>
    </row>
    <row r="11" spans="1:7">
      <c r="A11" s="10"/>
      <c r="B11" s="11"/>
      <c r="C11" s="12"/>
      <c r="D11" s="16"/>
      <c r="E11" s="14"/>
      <c r="F11" s="10"/>
      <c r="G11" s="15" t="s">
        <v>32</v>
      </c>
    </row>
    <row r="12" spans="1:7" ht="23">
      <c r="A12" s="2"/>
      <c r="B12" s="21" t="s">
        <v>6</v>
      </c>
      <c r="C12" s="12"/>
      <c r="D12" s="2"/>
      <c r="E12" s="22">
        <f>SUM(E5:E11)</f>
        <v>22000</v>
      </c>
      <c r="F12" s="2"/>
      <c r="G12" s="15" t="s">
        <v>33</v>
      </c>
    </row>
    <row r="13" spans="1:7" ht="24.5">
      <c r="A13" s="2"/>
      <c r="B13" s="21" t="s">
        <v>34</v>
      </c>
      <c r="C13" s="12"/>
      <c r="D13" s="2"/>
      <c r="E13" s="23">
        <f>E12*0%</f>
        <v>0</v>
      </c>
      <c r="F13" s="2"/>
      <c r="G13" s="15" t="s">
        <v>29</v>
      </c>
    </row>
    <row r="14" spans="1:7" ht="24.5">
      <c r="A14" s="2"/>
      <c r="B14" s="20" t="s">
        <v>35</v>
      </c>
      <c r="C14" s="2"/>
      <c r="D14" s="2"/>
      <c r="E14" s="24">
        <f>SUM(E12:E13)</f>
        <v>22000</v>
      </c>
      <c r="F14" s="2"/>
      <c r="G14" s="2"/>
    </row>
    <row r="15" spans="1:7" ht="24.5">
      <c r="A15" s="2"/>
      <c r="B15" s="20"/>
      <c r="C15" s="2"/>
      <c r="D15" s="2"/>
      <c r="E15" s="24"/>
      <c r="F15" s="2"/>
      <c r="G15" s="2"/>
    </row>
    <row r="16" spans="1:7" ht="33">
      <c r="A16" s="2"/>
      <c r="B16" s="26" t="s">
        <v>36</v>
      </c>
      <c r="C16" s="205" t="str">
        <f>BAHTTEXT(E14)</f>
        <v>สองหมื่นสองพันบาทถ้วน</v>
      </c>
      <c r="D16" s="205"/>
      <c r="E16" s="205"/>
      <c r="F16" s="205"/>
      <c r="G16" s="2"/>
    </row>
  </sheetData>
  <mergeCells count="6">
    <mergeCell ref="C16:F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4277-5122-4FBF-A34C-64BA114F5A01}">
  <dimension ref="A2:G20"/>
  <sheetViews>
    <sheetView zoomScaleNormal="100" workbookViewId="0">
      <selection activeCell="B5" sqref="B5"/>
    </sheetView>
  </sheetViews>
  <sheetFormatPr defaultColWidth="9.08203125" defaultRowHeight="20.5"/>
  <cols>
    <col min="1" max="1" width="9.08203125" style="1"/>
    <col min="2" max="2" width="42.58203125" style="1" bestFit="1" customWidth="1"/>
    <col min="3" max="3" width="9.08203125" style="1"/>
    <col min="4" max="4" width="10.75" style="1" bestFit="1" customWidth="1"/>
    <col min="5" max="5" width="12.83203125" style="1" bestFit="1" customWidth="1"/>
    <col min="6" max="6" width="25"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ht="41">
      <c r="A5" s="3">
        <v>1</v>
      </c>
      <c r="B5" s="30" t="s">
        <v>79</v>
      </c>
      <c r="C5" s="34">
        <v>30</v>
      </c>
      <c r="D5" s="35">
        <v>180</v>
      </c>
      <c r="E5" s="36">
        <f>C5*D5</f>
        <v>5400</v>
      </c>
      <c r="F5" s="3">
        <v>30</v>
      </c>
      <c r="G5" s="29"/>
    </row>
    <row r="6" spans="1:7">
      <c r="A6" s="10">
        <v>2</v>
      </c>
      <c r="B6" s="30" t="s">
        <v>80</v>
      </c>
      <c r="C6" s="12">
        <v>30</v>
      </c>
      <c r="D6" s="13">
        <v>50</v>
      </c>
      <c r="E6" s="36">
        <f>C6*D6</f>
        <v>1500</v>
      </c>
      <c r="F6" s="3">
        <v>30</v>
      </c>
      <c r="G6" s="29" t="s">
        <v>51</v>
      </c>
    </row>
    <row r="7" spans="1:7">
      <c r="A7" s="10"/>
      <c r="B7" s="30"/>
      <c r="C7" s="12"/>
      <c r="D7" s="13"/>
      <c r="E7" s="14"/>
      <c r="F7" s="10"/>
      <c r="G7" s="15" t="s">
        <v>29</v>
      </c>
    </row>
    <row r="8" spans="1:7">
      <c r="A8" s="10"/>
      <c r="B8" s="30"/>
      <c r="C8" s="12"/>
      <c r="D8" s="13"/>
      <c r="E8" s="14"/>
      <c r="F8" s="10"/>
      <c r="G8" s="15" t="s">
        <v>28</v>
      </c>
    </row>
    <row r="9" spans="1:7">
      <c r="A9" s="10"/>
      <c r="B9" s="30"/>
      <c r="C9" s="12"/>
      <c r="D9" s="13"/>
      <c r="E9" s="14"/>
      <c r="F9" s="10"/>
      <c r="G9" s="15" t="s">
        <v>30</v>
      </c>
    </row>
    <row r="10" spans="1:7">
      <c r="A10" s="10"/>
      <c r="B10" s="30"/>
      <c r="C10" s="12"/>
      <c r="D10" s="13"/>
      <c r="E10" s="14"/>
      <c r="F10" s="10"/>
      <c r="G10" s="33"/>
    </row>
    <row r="11" spans="1:7">
      <c r="A11" s="10"/>
      <c r="B11" s="32"/>
      <c r="C11" s="12"/>
      <c r="D11" s="13"/>
      <c r="E11" s="14"/>
      <c r="F11" s="10"/>
      <c r="G11" s="29" t="s">
        <v>50</v>
      </c>
    </row>
    <row r="12" spans="1:7">
      <c r="A12" s="10"/>
      <c r="B12" s="30"/>
      <c r="C12" s="12"/>
      <c r="D12" s="13"/>
      <c r="E12" s="14"/>
      <c r="F12" s="10"/>
      <c r="G12" s="31" t="s">
        <v>31</v>
      </c>
    </row>
    <row r="13" spans="1:7">
      <c r="A13" s="10"/>
      <c r="B13" s="30"/>
      <c r="C13" s="12"/>
      <c r="D13" s="13"/>
      <c r="E13" s="14"/>
      <c r="F13" s="10"/>
      <c r="G13" s="31" t="s">
        <v>32</v>
      </c>
    </row>
    <row r="14" spans="1:7">
      <c r="A14" s="10"/>
      <c r="B14" s="30"/>
      <c r="C14" s="12"/>
      <c r="D14" s="13"/>
      <c r="E14" s="14"/>
      <c r="F14" s="10"/>
      <c r="G14" s="31" t="s">
        <v>33</v>
      </c>
    </row>
    <row r="15" spans="1:7">
      <c r="A15" s="10"/>
      <c r="B15" s="30"/>
      <c r="C15" s="12"/>
      <c r="D15" s="13"/>
      <c r="E15" s="14"/>
      <c r="F15" s="10"/>
      <c r="G15" s="2"/>
    </row>
    <row r="16" spans="1:7" ht="23">
      <c r="A16" s="2"/>
      <c r="B16" s="21" t="s">
        <v>6</v>
      </c>
      <c r="C16" s="12"/>
      <c r="D16" s="2"/>
      <c r="E16" s="22">
        <f>SUM(E5:E15)*100/107</f>
        <v>6448.5981308411219</v>
      </c>
      <c r="F16" s="2"/>
      <c r="G16" s="2"/>
    </row>
    <row r="17" spans="1:7" ht="24.5">
      <c r="A17" s="2"/>
      <c r="B17" s="21" t="s">
        <v>34</v>
      </c>
      <c r="C17" s="12"/>
      <c r="D17" s="2"/>
      <c r="E17" s="23">
        <f>E16*7%</f>
        <v>451.40186915887858</v>
      </c>
      <c r="F17" s="2"/>
      <c r="G17" s="2"/>
    </row>
    <row r="18" spans="1:7" ht="24.5">
      <c r="A18" s="2"/>
      <c r="B18" s="20" t="s">
        <v>35</v>
      </c>
      <c r="C18" s="2"/>
      <c r="D18" s="2"/>
      <c r="E18" s="24">
        <f>SUM(E16:E17)</f>
        <v>6900.0000000000009</v>
      </c>
      <c r="F18" s="2"/>
      <c r="G18" s="2"/>
    </row>
    <row r="19" spans="1:7" ht="24.5">
      <c r="A19" s="2"/>
      <c r="B19" s="20"/>
      <c r="C19" s="2"/>
      <c r="D19" s="2"/>
      <c r="E19" s="24"/>
      <c r="F19" s="2"/>
      <c r="G19" s="2"/>
    </row>
    <row r="20" spans="1:7" ht="33">
      <c r="A20" s="2"/>
      <c r="B20" s="26" t="s">
        <v>36</v>
      </c>
      <c r="C20" s="205" t="str">
        <f>BAHTTEXT(E18)</f>
        <v>หกพันเก้าร้อยบาทถ้วน</v>
      </c>
      <c r="D20" s="205"/>
      <c r="E20" s="205"/>
      <c r="F20" s="205"/>
      <c r="G20" s="2"/>
    </row>
  </sheetData>
  <mergeCells count="6">
    <mergeCell ref="C20:F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373AE-E69B-43FC-AD41-375A630310F5}">
  <dimension ref="A2:G20"/>
  <sheetViews>
    <sheetView zoomScaleNormal="100" workbookViewId="0">
      <selection activeCell="A2" sqref="A2:G20"/>
    </sheetView>
  </sheetViews>
  <sheetFormatPr defaultColWidth="9.08203125" defaultRowHeight="20.5"/>
  <cols>
    <col min="1" max="1" width="9.08203125" style="1"/>
    <col min="2" max="2" width="42.58203125" style="1" bestFit="1" customWidth="1"/>
    <col min="3" max="3" width="9.08203125" style="1"/>
    <col min="4" max="4" width="10.75" style="1" bestFit="1" customWidth="1"/>
    <col min="5" max="5" width="12.83203125" style="1" bestFit="1" customWidth="1"/>
    <col min="6" max="6" width="25"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3">
        <v>1</v>
      </c>
      <c r="B5" s="30" t="s">
        <v>78</v>
      </c>
      <c r="C5" s="34">
        <v>10</v>
      </c>
      <c r="D5" s="35">
        <v>1460</v>
      </c>
      <c r="E5" s="36">
        <f>C5*D5</f>
        <v>14600</v>
      </c>
      <c r="F5" s="3">
        <v>30</v>
      </c>
      <c r="G5" s="29"/>
    </row>
    <row r="6" spans="1:7">
      <c r="A6" s="10"/>
      <c r="B6" s="30"/>
      <c r="C6" s="12"/>
      <c r="D6" s="13"/>
      <c r="E6" s="14"/>
      <c r="F6" s="10"/>
      <c r="G6" s="29" t="s">
        <v>51</v>
      </c>
    </row>
    <row r="7" spans="1:7">
      <c r="A7" s="10"/>
      <c r="B7" s="30"/>
      <c r="C7" s="12"/>
      <c r="D7" s="13"/>
      <c r="E7" s="14"/>
      <c r="F7" s="10"/>
      <c r="G7" s="15" t="s">
        <v>29</v>
      </c>
    </row>
    <row r="8" spans="1:7">
      <c r="A8" s="10"/>
      <c r="B8" s="30"/>
      <c r="C8" s="12"/>
      <c r="D8" s="13"/>
      <c r="E8" s="14"/>
      <c r="F8" s="10"/>
      <c r="G8" s="15" t="s">
        <v>28</v>
      </c>
    </row>
    <row r="9" spans="1:7">
      <c r="A9" s="10"/>
      <c r="B9" s="30"/>
      <c r="C9" s="12"/>
      <c r="D9" s="13"/>
      <c r="E9" s="14"/>
      <c r="F9" s="10"/>
      <c r="G9" s="15" t="s">
        <v>30</v>
      </c>
    </row>
    <row r="10" spans="1:7">
      <c r="A10" s="10"/>
      <c r="B10" s="30"/>
      <c r="C10" s="12"/>
      <c r="D10" s="13"/>
      <c r="E10" s="14"/>
      <c r="F10" s="10"/>
      <c r="G10" s="33"/>
    </row>
    <row r="11" spans="1:7">
      <c r="A11" s="10"/>
      <c r="B11" s="32"/>
      <c r="C11" s="12"/>
      <c r="D11" s="13"/>
      <c r="E11" s="14"/>
      <c r="F11" s="10"/>
      <c r="G11" s="29" t="s">
        <v>50</v>
      </c>
    </row>
    <row r="12" spans="1:7">
      <c r="A12" s="10"/>
      <c r="B12" s="30"/>
      <c r="C12" s="12"/>
      <c r="D12" s="13"/>
      <c r="E12" s="14"/>
      <c r="F12" s="10"/>
      <c r="G12" s="31" t="s">
        <v>31</v>
      </c>
    </row>
    <row r="13" spans="1:7">
      <c r="A13" s="10"/>
      <c r="B13" s="30"/>
      <c r="C13" s="12"/>
      <c r="D13" s="13"/>
      <c r="E13" s="14"/>
      <c r="F13" s="10"/>
      <c r="G13" s="31" t="s">
        <v>32</v>
      </c>
    </row>
    <row r="14" spans="1:7">
      <c r="A14" s="10"/>
      <c r="B14" s="30"/>
      <c r="C14" s="12"/>
      <c r="D14" s="13"/>
      <c r="E14" s="14"/>
      <c r="F14" s="10"/>
      <c r="G14" s="31" t="s">
        <v>33</v>
      </c>
    </row>
    <row r="15" spans="1:7">
      <c r="A15" s="10"/>
      <c r="B15" s="30"/>
      <c r="C15" s="12"/>
      <c r="D15" s="13"/>
      <c r="E15" s="14"/>
      <c r="F15" s="10"/>
      <c r="G15" s="2"/>
    </row>
    <row r="16" spans="1:7" ht="23">
      <c r="A16" s="2"/>
      <c r="B16" s="21" t="s">
        <v>6</v>
      </c>
      <c r="C16" s="12"/>
      <c r="D16" s="2"/>
      <c r="E16" s="22">
        <f>SUM(E5:E15)</f>
        <v>14600</v>
      </c>
      <c r="F16" s="2"/>
      <c r="G16" s="2"/>
    </row>
    <row r="17" spans="1:7" ht="24.5">
      <c r="A17" s="2"/>
      <c r="B17" s="21" t="s">
        <v>34</v>
      </c>
      <c r="C17" s="12"/>
      <c r="D17" s="2"/>
      <c r="E17" s="23">
        <f>E16*7%</f>
        <v>1022.0000000000001</v>
      </c>
      <c r="F17" s="2"/>
      <c r="G17" s="2"/>
    </row>
    <row r="18" spans="1:7" ht="24.5">
      <c r="A18" s="2"/>
      <c r="B18" s="20" t="s">
        <v>35</v>
      </c>
      <c r="C18" s="2"/>
      <c r="D18" s="2"/>
      <c r="E18" s="24">
        <f>SUM(E16:E17)</f>
        <v>15622</v>
      </c>
      <c r="F18" s="2"/>
      <c r="G18" s="2"/>
    </row>
    <row r="19" spans="1:7" ht="24.5">
      <c r="A19" s="2"/>
      <c r="B19" s="20"/>
      <c r="C19" s="2"/>
      <c r="D19" s="2"/>
      <c r="E19" s="24"/>
      <c r="F19" s="2"/>
      <c r="G19" s="2"/>
    </row>
    <row r="20" spans="1:7" ht="33">
      <c r="A20" s="2"/>
      <c r="B20" s="26" t="s">
        <v>36</v>
      </c>
      <c r="C20" s="205" t="str">
        <f>BAHTTEXT(E18)</f>
        <v>หนึ่งหมื่นห้าพันหกร้อยยี่สิบสองบาทถ้วน</v>
      </c>
      <c r="D20" s="205"/>
      <c r="E20" s="205"/>
      <c r="F20" s="205"/>
      <c r="G20" s="2"/>
    </row>
  </sheetData>
  <mergeCells count="6">
    <mergeCell ref="C20:F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DBE5-A686-4711-9327-466EB236B0FD}">
  <dimension ref="A2:G20"/>
  <sheetViews>
    <sheetView zoomScaleNormal="100" workbookViewId="0">
      <selection activeCell="E9" sqref="E9"/>
    </sheetView>
  </sheetViews>
  <sheetFormatPr defaultColWidth="9.08203125" defaultRowHeight="20.5"/>
  <cols>
    <col min="1" max="1" width="9.08203125" style="1"/>
    <col min="2" max="2" width="42.58203125" style="1" bestFit="1" customWidth="1"/>
    <col min="3" max="3" width="9.08203125" style="1"/>
    <col min="4" max="4" width="10.75" style="1" bestFit="1" customWidth="1"/>
    <col min="5" max="5" width="12.83203125" style="1" bestFit="1" customWidth="1"/>
    <col min="6" max="6" width="25"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3">
        <v>1</v>
      </c>
      <c r="B5" s="30" t="s">
        <v>78</v>
      </c>
      <c r="C5" s="34">
        <v>10</v>
      </c>
      <c r="D5" s="35">
        <v>1460</v>
      </c>
      <c r="E5" s="36">
        <f>C5*D5</f>
        <v>14600</v>
      </c>
      <c r="F5" s="3">
        <v>30</v>
      </c>
      <c r="G5" s="29"/>
    </row>
    <row r="6" spans="1:7">
      <c r="A6" s="10"/>
      <c r="B6" s="30"/>
      <c r="C6" s="12"/>
      <c r="D6" s="13"/>
      <c r="E6" s="14"/>
      <c r="F6" s="10"/>
      <c r="G6" s="29" t="s">
        <v>51</v>
      </c>
    </row>
    <row r="7" spans="1:7">
      <c r="A7" s="10"/>
      <c r="B7" s="30"/>
      <c r="C7" s="12"/>
      <c r="D7" s="13"/>
      <c r="E7" s="14"/>
      <c r="F7" s="10"/>
      <c r="G7" s="15" t="s">
        <v>29</v>
      </c>
    </row>
    <row r="8" spans="1:7">
      <c r="A8" s="10"/>
      <c r="B8" s="30"/>
      <c r="C8" s="12"/>
      <c r="D8" s="13"/>
      <c r="E8" s="14"/>
      <c r="F8" s="10"/>
      <c r="G8" s="15" t="s">
        <v>28</v>
      </c>
    </row>
    <row r="9" spans="1:7">
      <c r="A9" s="10"/>
      <c r="B9" s="30"/>
      <c r="C9" s="12"/>
      <c r="D9" s="13"/>
      <c r="E9" s="14"/>
      <c r="F9" s="10"/>
      <c r="G9" s="15" t="s">
        <v>30</v>
      </c>
    </row>
    <row r="10" spans="1:7">
      <c r="A10" s="10"/>
      <c r="B10" s="30"/>
      <c r="C10" s="12"/>
      <c r="D10" s="13"/>
      <c r="E10" s="14"/>
      <c r="F10" s="10"/>
      <c r="G10" s="33"/>
    </row>
    <row r="11" spans="1:7">
      <c r="A11" s="10"/>
      <c r="B11" s="32"/>
      <c r="C11" s="12"/>
      <c r="D11" s="13"/>
      <c r="E11" s="14"/>
      <c r="F11" s="10"/>
      <c r="G11" s="29" t="s">
        <v>50</v>
      </c>
    </row>
    <row r="12" spans="1:7">
      <c r="A12" s="10"/>
      <c r="B12" s="30"/>
      <c r="C12" s="12"/>
      <c r="D12" s="13"/>
      <c r="E12" s="14"/>
      <c r="F12" s="10"/>
      <c r="G12" s="31" t="s">
        <v>31</v>
      </c>
    </row>
    <row r="13" spans="1:7">
      <c r="A13" s="10"/>
      <c r="B13" s="30"/>
      <c r="C13" s="12"/>
      <c r="D13" s="13"/>
      <c r="E13" s="14"/>
      <c r="F13" s="10"/>
      <c r="G13" s="31" t="s">
        <v>32</v>
      </c>
    </row>
    <row r="14" spans="1:7">
      <c r="A14" s="10"/>
      <c r="B14" s="30"/>
      <c r="C14" s="12"/>
      <c r="D14" s="13"/>
      <c r="E14" s="14"/>
      <c r="F14" s="10"/>
      <c r="G14" s="31" t="s">
        <v>33</v>
      </c>
    </row>
    <row r="15" spans="1:7">
      <c r="A15" s="10"/>
      <c r="B15" s="30"/>
      <c r="C15" s="12"/>
      <c r="D15" s="13"/>
      <c r="E15" s="14"/>
      <c r="F15" s="10"/>
      <c r="G15" s="2"/>
    </row>
    <row r="16" spans="1:7" ht="23">
      <c r="A16" s="2"/>
      <c r="B16" s="21" t="s">
        <v>6</v>
      </c>
      <c r="C16" s="12"/>
      <c r="D16" s="2"/>
      <c r="E16" s="22">
        <f>SUM(E5:E15)</f>
        <v>14600</v>
      </c>
      <c r="F16" s="2"/>
      <c r="G16" s="2"/>
    </row>
    <row r="17" spans="1:7" ht="24.5">
      <c r="A17" s="2"/>
      <c r="B17" s="21" t="s">
        <v>34</v>
      </c>
      <c r="C17" s="12"/>
      <c r="D17" s="2"/>
      <c r="E17" s="23">
        <f>E16*7%</f>
        <v>1022.0000000000001</v>
      </c>
      <c r="F17" s="2"/>
      <c r="G17" s="2"/>
    </row>
    <row r="18" spans="1:7" ht="24.5">
      <c r="A18" s="2"/>
      <c r="B18" s="20" t="s">
        <v>35</v>
      </c>
      <c r="C18" s="2"/>
      <c r="D18" s="2"/>
      <c r="E18" s="24">
        <f>SUM(E16:E17)</f>
        <v>15622</v>
      </c>
      <c r="F18" s="2"/>
      <c r="G18" s="2"/>
    </row>
    <row r="19" spans="1:7" ht="24.5">
      <c r="A19" s="2"/>
      <c r="B19" s="20"/>
      <c r="C19" s="2"/>
      <c r="D19" s="2"/>
      <c r="E19" s="24"/>
      <c r="F19" s="2"/>
      <c r="G19" s="2"/>
    </row>
    <row r="20" spans="1:7" ht="33">
      <c r="A20" s="2"/>
      <c r="B20" s="26" t="s">
        <v>36</v>
      </c>
      <c r="C20" s="205" t="str">
        <f>BAHTTEXT(E18)</f>
        <v>หนึ่งหมื่นห้าพันหกร้อยยี่สิบสองบาทถ้วน</v>
      </c>
      <c r="D20" s="205"/>
      <c r="E20" s="205"/>
      <c r="F20" s="205"/>
      <c r="G20" s="2"/>
    </row>
  </sheetData>
  <mergeCells count="6">
    <mergeCell ref="C20:F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D7D6-41C4-4A04-8DBB-9C030E79C030}">
  <dimension ref="A2:G20"/>
  <sheetViews>
    <sheetView topLeftCell="A7" zoomScaleNormal="100" workbookViewId="0">
      <selection activeCell="E8" sqref="E8"/>
    </sheetView>
  </sheetViews>
  <sheetFormatPr defaultColWidth="9.08203125" defaultRowHeight="20.5"/>
  <cols>
    <col min="1" max="1" width="9.08203125" style="1"/>
    <col min="2" max="2" width="42.58203125" style="1" bestFit="1" customWidth="1"/>
    <col min="3" max="3" width="9.08203125" style="1"/>
    <col min="4" max="4" width="10.75" style="1" bestFit="1" customWidth="1"/>
    <col min="5" max="5" width="12.83203125" style="1" bestFit="1" customWidth="1"/>
    <col min="6" max="6" width="25"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30"/>
      <c r="C5" s="12">
        <v>10</v>
      </c>
      <c r="D5" s="13"/>
      <c r="E5" s="14">
        <f>C5*D5</f>
        <v>0</v>
      </c>
      <c r="F5" s="10">
        <v>30</v>
      </c>
      <c r="G5" s="29"/>
    </row>
    <row r="6" spans="1:7">
      <c r="A6" s="10"/>
      <c r="B6" s="30"/>
      <c r="C6" s="12"/>
      <c r="D6" s="13"/>
      <c r="E6" s="14"/>
      <c r="F6" s="10"/>
      <c r="G6" s="29" t="s">
        <v>51</v>
      </c>
    </row>
    <row r="7" spans="1:7">
      <c r="A7" s="10"/>
      <c r="B7" s="30"/>
      <c r="C7" s="12"/>
      <c r="D7" s="13"/>
      <c r="E7" s="14"/>
      <c r="F7" s="10"/>
      <c r="G7" s="15" t="s">
        <v>29</v>
      </c>
    </row>
    <row r="8" spans="1:7">
      <c r="A8" s="10"/>
      <c r="B8" s="30"/>
      <c r="C8" s="12"/>
      <c r="D8" s="13"/>
      <c r="E8" s="14"/>
      <c r="F8" s="10"/>
      <c r="G8" s="15" t="s">
        <v>28</v>
      </c>
    </row>
    <row r="9" spans="1:7">
      <c r="A9" s="10"/>
      <c r="B9" s="30"/>
      <c r="C9" s="12"/>
      <c r="D9" s="13"/>
      <c r="E9" s="14"/>
      <c r="F9" s="10"/>
      <c r="G9" s="15" t="s">
        <v>30</v>
      </c>
    </row>
    <row r="10" spans="1:7">
      <c r="A10" s="10"/>
      <c r="B10" s="30"/>
      <c r="C10" s="12"/>
      <c r="D10" s="13"/>
      <c r="E10" s="14"/>
      <c r="F10" s="10"/>
      <c r="G10" s="33"/>
    </row>
    <row r="11" spans="1:7">
      <c r="A11" s="10"/>
      <c r="B11" s="32"/>
      <c r="C11" s="12"/>
      <c r="D11" s="13"/>
      <c r="E11" s="14"/>
      <c r="F11" s="10"/>
      <c r="G11" s="29" t="s">
        <v>50</v>
      </c>
    </row>
    <row r="12" spans="1:7">
      <c r="A12" s="10"/>
      <c r="B12" s="30"/>
      <c r="C12" s="12"/>
      <c r="D12" s="13"/>
      <c r="E12" s="14"/>
      <c r="F12" s="10"/>
      <c r="G12" s="31" t="s">
        <v>31</v>
      </c>
    </row>
    <row r="13" spans="1:7">
      <c r="A13" s="10"/>
      <c r="B13" s="30"/>
      <c r="C13" s="12"/>
      <c r="D13" s="13"/>
      <c r="E13" s="14"/>
      <c r="F13" s="10"/>
      <c r="G13" s="31" t="s">
        <v>32</v>
      </c>
    </row>
    <row r="14" spans="1:7">
      <c r="A14" s="10"/>
      <c r="B14" s="30"/>
      <c r="C14" s="12"/>
      <c r="D14" s="13"/>
      <c r="E14" s="14"/>
      <c r="F14" s="10"/>
      <c r="G14" s="31" t="s">
        <v>33</v>
      </c>
    </row>
    <row r="15" spans="1:7">
      <c r="A15" s="10"/>
      <c r="B15" s="30"/>
      <c r="C15" s="12"/>
      <c r="D15" s="13"/>
      <c r="E15" s="14"/>
      <c r="F15" s="10"/>
      <c r="G15" s="2"/>
    </row>
    <row r="16" spans="1:7" ht="23">
      <c r="A16" s="2"/>
      <c r="B16" s="21" t="s">
        <v>6</v>
      </c>
      <c r="C16" s="12"/>
      <c r="D16" s="2"/>
      <c r="E16" s="22">
        <f>SUM(E5:E15)</f>
        <v>0</v>
      </c>
      <c r="F16" s="2"/>
      <c r="G16" s="2"/>
    </row>
    <row r="17" spans="1:7" ht="24.5">
      <c r="A17" s="2"/>
      <c r="B17" s="21" t="s">
        <v>34</v>
      </c>
      <c r="C17" s="12"/>
      <c r="D17" s="2"/>
      <c r="E17" s="23">
        <f>E16*7%</f>
        <v>0</v>
      </c>
      <c r="F17" s="2"/>
      <c r="G17" s="2"/>
    </row>
    <row r="18" spans="1:7" ht="24.5">
      <c r="A18" s="2"/>
      <c r="B18" s="20" t="s">
        <v>35</v>
      </c>
      <c r="C18" s="2"/>
      <c r="D18" s="2"/>
      <c r="E18" s="24">
        <f>SUM(E16:E17)</f>
        <v>0</v>
      </c>
      <c r="F18" s="2"/>
      <c r="G18" s="2"/>
    </row>
    <row r="19" spans="1:7" ht="24.5">
      <c r="A19" s="2"/>
      <c r="B19" s="20"/>
      <c r="C19" s="2"/>
      <c r="D19" s="2"/>
      <c r="E19" s="24"/>
      <c r="F19" s="2"/>
      <c r="G19" s="2"/>
    </row>
    <row r="20" spans="1:7" ht="33">
      <c r="A20" s="2"/>
      <c r="B20" s="26" t="s">
        <v>36</v>
      </c>
      <c r="C20" s="205" t="str">
        <f>BAHTTEXT(E18)</f>
        <v>ศูนย์บาทถ้วน</v>
      </c>
      <c r="D20" s="205"/>
      <c r="E20" s="205"/>
      <c r="F20" s="205"/>
      <c r="G20" s="2"/>
    </row>
  </sheetData>
  <mergeCells count="6">
    <mergeCell ref="C20:F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6C3B-43E8-4EF3-B19E-19B7D8E5BD96}">
  <dimension ref="A2:G20"/>
  <sheetViews>
    <sheetView topLeftCell="A4" zoomScaleNormal="100" workbookViewId="0">
      <selection activeCell="A2" sqref="A2:G20"/>
    </sheetView>
  </sheetViews>
  <sheetFormatPr defaultColWidth="9.08203125" defaultRowHeight="20.5"/>
  <cols>
    <col min="1" max="1" width="9.08203125" style="1"/>
    <col min="2" max="2" width="42.58203125" style="1" bestFit="1" customWidth="1"/>
    <col min="3" max="3" width="9.08203125" style="1"/>
    <col min="4" max="4" width="10.75" style="1" bestFit="1" customWidth="1"/>
    <col min="5" max="5" width="12.83203125" style="1" bestFit="1" customWidth="1"/>
    <col min="6" max="6" width="25"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ht="41">
      <c r="A5" s="10">
        <v>1</v>
      </c>
      <c r="B5" s="30" t="s">
        <v>76</v>
      </c>
      <c r="C5" s="12">
        <v>6</v>
      </c>
      <c r="D5" s="13">
        <v>3725</v>
      </c>
      <c r="E5" s="14">
        <f>C5*D5</f>
        <v>22350</v>
      </c>
      <c r="F5" s="10">
        <v>30</v>
      </c>
      <c r="G5" s="29"/>
    </row>
    <row r="6" spans="1:7">
      <c r="A6" s="10">
        <v>2</v>
      </c>
      <c r="B6" s="30" t="s">
        <v>77</v>
      </c>
      <c r="C6" s="12">
        <v>2</v>
      </c>
      <c r="D6" s="13">
        <v>600</v>
      </c>
      <c r="E6" s="14">
        <f t="shared" ref="E6" si="0">C6*D6</f>
        <v>1200</v>
      </c>
      <c r="F6" s="10">
        <v>30</v>
      </c>
      <c r="G6" s="29" t="s">
        <v>51</v>
      </c>
    </row>
    <row r="7" spans="1:7">
      <c r="A7" s="10"/>
      <c r="B7" s="30"/>
      <c r="C7" s="12"/>
      <c r="D7" s="13"/>
      <c r="E7" s="14"/>
      <c r="F7" s="10"/>
      <c r="G7" s="15" t="s">
        <v>29</v>
      </c>
    </row>
    <row r="8" spans="1:7">
      <c r="A8" s="10"/>
      <c r="B8" s="30"/>
      <c r="C8" s="12"/>
      <c r="D8" s="13"/>
      <c r="E8" s="14"/>
      <c r="F8" s="10"/>
      <c r="G8" s="15" t="s">
        <v>28</v>
      </c>
    </row>
    <row r="9" spans="1:7">
      <c r="A9" s="10"/>
      <c r="B9" s="30"/>
      <c r="C9" s="12"/>
      <c r="D9" s="13"/>
      <c r="E9" s="14"/>
      <c r="F9" s="10"/>
      <c r="G9" s="15" t="s">
        <v>30</v>
      </c>
    </row>
    <row r="10" spans="1:7">
      <c r="A10" s="10"/>
      <c r="B10" s="30"/>
      <c r="C10" s="12"/>
      <c r="D10" s="13"/>
      <c r="E10" s="14"/>
      <c r="F10" s="10"/>
      <c r="G10" s="33"/>
    </row>
    <row r="11" spans="1:7">
      <c r="A11" s="10"/>
      <c r="B11" s="32"/>
      <c r="C11" s="12"/>
      <c r="D11" s="13"/>
      <c r="E11" s="14"/>
      <c r="F11" s="10"/>
      <c r="G11" s="29" t="s">
        <v>50</v>
      </c>
    </row>
    <row r="12" spans="1:7">
      <c r="A12" s="10"/>
      <c r="B12" s="30"/>
      <c r="C12" s="12"/>
      <c r="D12" s="13"/>
      <c r="E12" s="14"/>
      <c r="F12" s="10"/>
      <c r="G12" s="31" t="s">
        <v>31</v>
      </c>
    </row>
    <row r="13" spans="1:7">
      <c r="A13" s="10"/>
      <c r="B13" s="30"/>
      <c r="C13" s="12"/>
      <c r="D13" s="13"/>
      <c r="E13" s="14"/>
      <c r="F13" s="10"/>
      <c r="G13" s="31" t="s">
        <v>32</v>
      </c>
    </row>
    <row r="14" spans="1:7">
      <c r="A14" s="10"/>
      <c r="B14" s="30"/>
      <c r="C14" s="12"/>
      <c r="D14" s="13"/>
      <c r="E14" s="14"/>
      <c r="F14" s="10"/>
      <c r="G14" s="31" t="s">
        <v>33</v>
      </c>
    </row>
    <row r="15" spans="1:7">
      <c r="A15" s="10"/>
      <c r="B15" s="30"/>
      <c r="C15" s="12"/>
      <c r="D15" s="13"/>
      <c r="E15" s="14"/>
      <c r="F15" s="10"/>
      <c r="G15" s="2"/>
    </row>
    <row r="16" spans="1:7" ht="23">
      <c r="A16" s="2"/>
      <c r="B16" s="21" t="s">
        <v>6</v>
      </c>
      <c r="C16" s="12"/>
      <c r="D16" s="2"/>
      <c r="E16" s="22">
        <f>SUM(E5:E15)</f>
        <v>23550</v>
      </c>
      <c r="F16" s="2"/>
      <c r="G16" s="2"/>
    </row>
    <row r="17" spans="1:7" ht="24.5">
      <c r="A17" s="2"/>
      <c r="B17" s="21" t="s">
        <v>34</v>
      </c>
      <c r="C17" s="12"/>
      <c r="D17" s="2"/>
      <c r="E17" s="23">
        <f>E16*7%</f>
        <v>1648.5000000000002</v>
      </c>
      <c r="F17" s="2"/>
      <c r="G17" s="2"/>
    </row>
    <row r="18" spans="1:7" ht="24.5">
      <c r="A18" s="2"/>
      <c r="B18" s="20" t="s">
        <v>35</v>
      </c>
      <c r="C18" s="2"/>
      <c r="D18" s="2"/>
      <c r="E18" s="24">
        <f>SUM(E16:E17)</f>
        <v>25198.5</v>
      </c>
      <c r="F18" s="2"/>
      <c r="G18" s="2"/>
    </row>
    <row r="19" spans="1:7" ht="24.5">
      <c r="A19" s="2"/>
      <c r="B19" s="20"/>
      <c r="C19" s="2"/>
      <c r="D19" s="2"/>
      <c r="E19" s="24"/>
      <c r="F19" s="2"/>
      <c r="G19" s="2"/>
    </row>
    <row r="20" spans="1:7" ht="33">
      <c r="A20" s="2"/>
      <c r="B20" s="26" t="s">
        <v>36</v>
      </c>
      <c r="C20" s="205" t="str">
        <f>BAHTTEXT(E18)</f>
        <v>สองหมื่นห้าพันหนึ่งร้อยเก้าสิบแปดบาทห้าสิบสตางค์</v>
      </c>
      <c r="D20" s="205"/>
      <c r="E20" s="205"/>
      <c r="F20" s="205"/>
      <c r="G20" s="2"/>
    </row>
  </sheetData>
  <mergeCells count="6">
    <mergeCell ref="C20:F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14CE1-B284-4626-9BB6-363008C9E763}">
  <dimension ref="A2:G18"/>
  <sheetViews>
    <sheetView zoomScaleNormal="100" workbookViewId="0">
      <selection activeCell="D13" sqref="D13"/>
    </sheetView>
  </sheetViews>
  <sheetFormatPr defaultColWidth="9.08203125" defaultRowHeight="20.5"/>
  <cols>
    <col min="1" max="1" width="9.08203125" style="1"/>
    <col min="2" max="2" width="42.58203125" style="1" bestFit="1" customWidth="1"/>
    <col min="3" max="3" width="9.08203125" style="1"/>
    <col min="4" max="4" width="11.25" style="1" bestFit="1" customWidth="1"/>
    <col min="5" max="5" width="12.83203125" style="1" bestFit="1" customWidth="1"/>
    <col min="6" max="6" width="22.5820312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3">
        <v>1</v>
      </c>
      <c r="B5" s="30" t="s">
        <v>67</v>
      </c>
      <c r="C5" s="34">
        <v>2</v>
      </c>
      <c r="D5" s="35">
        <v>1800</v>
      </c>
      <c r="E5" s="36">
        <f>C5*D5</f>
        <v>3600</v>
      </c>
      <c r="F5" s="3">
        <v>30</v>
      </c>
      <c r="G5" s="29" t="s">
        <v>49</v>
      </c>
    </row>
    <row r="6" spans="1:7">
      <c r="A6" s="3"/>
      <c r="B6" s="30" t="s">
        <v>68</v>
      </c>
      <c r="C6" s="34"/>
      <c r="D6" s="35"/>
      <c r="E6" s="36"/>
      <c r="F6" s="3"/>
      <c r="G6" s="15" t="s">
        <v>48</v>
      </c>
    </row>
    <row r="7" spans="1:7">
      <c r="A7" s="3"/>
      <c r="B7" s="30" t="s">
        <v>69</v>
      </c>
      <c r="C7" s="34"/>
      <c r="D7" s="35"/>
      <c r="E7" s="36"/>
      <c r="F7" s="3"/>
      <c r="G7" s="31" t="s">
        <v>32</v>
      </c>
    </row>
    <row r="8" spans="1:7">
      <c r="A8" s="3"/>
      <c r="B8" s="30"/>
      <c r="C8" s="34"/>
      <c r="D8" s="35"/>
      <c r="E8" s="36"/>
      <c r="F8" s="3"/>
      <c r="G8" s="31" t="s">
        <v>33</v>
      </c>
    </row>
    <row r="9" spans="1:7">
      <c r="A9" s="3">
        <v>2</v>
      </c>
      <c r="B9" s="30" t="s">
        <v>70</v>
      </c>
      <c r="C9" s="34">
        <v>600</v>
      </c>
      <c r="D9" s="35">
        <v>17</v>
      </c>
      <c r="E9" s="36">
        <f>C9*D9</f>
        <v>10200</v>
      </c>
      <c r="F9" s="3">
        <v>30</v>
      </c>
      <c r="G9" s="31"/>
    </row>
    <row r="10" spans="1:7">
      <c r="A10" s="3"/>
      <c r="B10" s="30" t="s">
        <v>71</v>
      </c>
      <c r="C10" s="34"/>
      <c r="D10" s="35"/>
      <c r="E10" s="36"/>
      <c r="F10" s="3"/>
      <c r="G10" s="29" t="s">
        <v>50</v>
      </c>
    </row>
    <row r="11" spans="1:7">
      <c r="A11" s="3"/>
      <c r="B11" s="30" t="s">
        <v>72</v>
      </c>
      <c r="C11" s="34"/>
      <c r="D11" s="35"/>
      <c r="E11" s="36"/>
      <c r="F11" s="3"/>
      <c r="G11" s="27" t="s">
        <v>28</v>
      </c>
    </row>
    <row r="12" spans="1:7">
      <c r="A12" s="3"/>
      <c r="B12" s="30" t="s">
        <v>73</v>
      </c>
      <c r="C12" s="34"/>
      <c r="D12" s="35"/>
      <c r="E12" s="36"/>
      <c r="F12" s="3"/>
      <c r="G12" s="31" t="s">
        <v>30</v>
      </c>
    </row>
    <row r="13" spans="1:7">
      <c r="A13" s="3"/>
      <c r="B13" s="30" t="s">
        <v>74</v>
      </c>
      <c r="C13" s="34"/>
      <c r="D13" s="35"/>
      <c r="E13" s="36"/>
      <c r="F13" s="3"/>
      <c r="G13" s="15" t="s">
        <v>29</v>
      </c>
    </row>
    <row r="14" spans="1:7" ht="23">
      <c r="A14" s="2"/>
      <c r="B14" s="31" t="s">
        <v>75</v>
      </c>
      <c r="C14" s="34"/>
      <c r="D14" s="2"/>
      <c r="E14" s="22">
        <f>SUM(E5:E13)</f>
        <v>13800</v>
      </c>
      <c r="F14" s="2"/>
      <c r="G14" s="15"/>
    </row>
    <row r="15" spans="1:7" ht="24.5">
      <c r="A15" s="2"/>
      <c r="B15" s="21" t="s">
        <v>34</v>
      </c>
      <c r="C15" s="34"/>
      <c r="D15" s="2"/>
      <c r="E15" s="23">
        <f>E14*7%</f>
        <v>966.00000000000011</v>
      </c>
      <c r="F15" s="2"/>
      <c r="G15" s="31"/>
    </row>
    <row r="16" spans="1:7" ht="24.5">
      <c r="A16" s="2"/>
      <c r="B16" s="20" t="s">
        <v>35</v>
      </c>
      <c r="C16" s="2"/>
      <c r="D16" s="2"/>
      <c r="E16" s="24">
        <f>SUM(E14:E15)</f>
        <v>14766</v>
      </c>
      <c r="F16" s="2"/>
      <c r="G16" s="2"/>
    </row>
    <row r="17" spans="1:7" ht="24.5">
      <c r="A17" s="2"/>
      <c r="B17" s="20"/>
      <c r="C17" s="2"/>
      <c r="D17" s="2"/>
      <c r="E17" s="24"/>
      <c r="F17" s="2"/>
      <c r="G17" s="2"/>
    </row>
    <row r="18" spans="1:7" ht="33">
      <c r="A18" s="2"/>
      <c r="B18" s="26" t="s">
        <v>36</v>
      </c>
      <c r="C18" s="205" t="str">
        <f>BAHTTEXT(E16)</f>
        <v>หนึ่งหมื่นสี่พันเจ็ดร้อยหกสิบหกบาทถ้วน</v>
      </c>
      <c r="D18" s="205"/>
      <c r="E18" s="205"/>
      <c r="F18" s="205"/>
      <c r="G18" s="2"/>
    </row>
  </sheetData>
  <mergeCells count="6">
    <mergeCell ref="C18:F18"/>
    <mergeCell ref="A2:A4"/>
    <mergeCell ref="B2:B4"/>
    <mergeCell ref="C2:C4"/>
    <mergeCell ref="D2:E2"/>
    <mergeCell ref="F2:F4"/>
  </mergeCells>
  <pageMargins left="0.7" right="0.7" top="0.75" bottom="0.75" header="0.3" footer="0.3"/>
  <pageSetup paperSize="9" scale="63" orientation="portrait"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2002-882C-4BEE-ADF4-6AE1D97B6138}">
  <dimension ref="A2:G18"/>
  <sheetViews>
    <sheetView zoomScaleNormal="100" workbookViewId="0">
      <selection activeCell="A2" sqref="A2:G18"/>
    </sheetView>
  </sheetViews>
  <sheetFormatPr defaultColWidth="9.08203125" defaultRowHeight="20.5"/>
  <cols>
    <col min="1" max="1" width="9.08203125" style="1"/>
    <col min="2" max="2" width="42.58203125" style="1" bestFit="1" customWidth="1"/>
    <col min="3" max="3" width="9.08203125" style="1"/>
    <col min="4" max="4" width="11.25" style="1" bestFit="1" customWidth="1"/>
    <col min="5" max="5" width="12.83203125" style="1" bestFit="1" customWidth="1"/>
    <col min="6" max="6" width="22.5820312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30" t="s">
        <v>65</v>
      </c>
      <c r="C5" s="12">
        <v>1</v>
      </c>
      <c r="D5" s="13">
        <v>50000</v>
      </c>
      <c r="E5" s="14">
        <f>C5*D5</f>
        <v>50000</v>
      </c>
      <c r="F5" s="10">
        <v>60</v>
      </c>
      <c r="G5" s="29" t="s">
        <v>51</v>
      </c>
    </row>
    <row r="6" spans="1:7">
      <c r="A6" s="10"/>
      <c r="B6" s="30" t="s">
        <v>66</v>
      </c>
      <c r="C6" s="12"/>
      <c r="D6" s="13"/>
      <c r="E6" s="14"/>
      <c r="F6" s="10"/>
      <c r="G6" s="15" t="s">
        <v>29</v>
      </c>
    </row>
    <row r="7" spans="1:7">
      <c r="A7" s="10"/>
      <c r="B7" s="30"/>
      <c r="C7" s="12"/>
      <c r="D7" s="13"/>
      <c r="E7" s="14"/>
      <c r="F7" s="10"/>
      <c r="G7" s="27" t="s">
        <v>28</v>
      </c>
    </row>
    <row r="8" spans="1:7">
      <c r="A8" s="10"/>
      <c r="B8" s="30"/>
      <c r="C8" s="12"/>
      <c r="D8" s="13"/>
      <c r="E8" s="14"/>
      <c r="F8" s="10"/>
      <c r="G8" s="31" t="s">
        <v>30</v>
      </c>
    </row>
    <row r="9" spans="1:7">
      <c r="A9" s="10"/>
      <c r="B9" s="30"/>
      <c r="C9" s="12"/>
      <c r="D9" s="13"/>
      <c r="E9" s="14"/>
      <c r="F9" s="10"/>
      <c r="G9" s="31"/>
    </row>
    <row r="10" spans="1:7">
      <c r="A10" s="10"/>
      <c r="B10" s="30"/>
      <c r="C10" s="12"/>
      <c r="D10" s="13"/>
      <c r="E10" s="14"/>
      <c r="F10" s="10"/>
      <c r="G10" s="29" t="s">
        <v>50</v>
      </c>
    </row>
    <row r="11" spans="1:7">
      <c r="A11" s="10"/>
      <c r="B11" s="32"/>
      <c r="C11" s="12"/>
      <c r="D11" s="13"/>
      <c r="E11" s="14"/>
      <c r="F11" s="10"/>
      <c r="G11" s="31" t="s">
        <v>31</v>
      </c>
    </row>
    <row r="12" spans="1:7">
      <c r="A12" s="10"/>
      <c r="B12" s="30"/>
      <c r="C12" s="12"/>
      <c r="D12" s="13"/>
      <c r="E12" s="14"/>
      <c r="F12" s="10"/>
      <c r="G12" s="31" t="s">
        <v>32</v>
      </c>
    </row>
    <row r="13" spans="1:7">
      <c r="A13" s="10"/>
      <c r="B13" s="30"/>
      <c r="C13" s="12"/>
      <c r="D13" s="13"/>
      <c r="E13" s="14"/>
      <c r="F13" s="10"/>
      <c r="G13" s="31" t="s">
        <v>33</v>
      </c>
    </row>
    <row r="14" spans="1:7" ht="23">
      <c r="A14" s="2"/>
      <c r="B14" s="21" t="s">
        <v>6</v>
      </c>
      <c r="C14" s="12"/>
      <c r="D14" s="2"/>
      <c r="E14" s="22">
        <f>SUM(E5:E13)</f>
        <v>50000</v>
      </c>
      <c r="F14" s="2"/>
      <c r="G14" s="2"/>
    </row>
    <row r="15" spans="1:7" ht="24.5">
      <c r="A15" s="2"/>
      <c r="B15" s="21" t="s">
        <v>34</v>
      </c>
      <c r="C15" s="12"/>
      <c r="D15" s="2"/>
      <c r="E15" s="23">
        <v>0</v>
      </c>
      <c r="F15" s="2"/>
      <c r="G15" s="2"/>
    </row>
    <row r="16" spans="1:7" ht="24.5">
      <c r="A16" s="2"/>
      <c r="B16" s="20" t="s">
        <v>35</v>
      </c>
      <c r="C16" s="2"/>
      <c r="D16" s="2"/>
      <c r="E16" s="24">
        <f>SUM(E14:E15)</f>
        <v>50000</v>
      </c>
      <c r="F16" s="2"/>
      <c r="G16" s="2"/>
    </row>
    <row r="17" spans="1:7" ht="24.5">
      <c r="A17" s="2"/>
      <c r="B17" s="20"/>
      <c r="C17" s="2"/>
      <c r="D17" s="2"/>
      <c r="E17" s="24"/>
      <c r="F17" s="2"/>
      <c r="G17" s="2"/>
    </row>
    <row r="18" spans="1:7" ht="33">
      <c r="A18" s="2"/>
      <c r="B18" s="26" t="s">
        <v>36</v>
      </c>
      <c r="C18" s="205" t="str">
        <f>BAHTTEXT(E16)</f>
        <v>ห้าหมื่นบาทถ้วน</v>
      </c>
      <c r="D18" s="205"/>
      <c r="E18" s="205"/>
      <c r="F18" s="205"/>
      <c r="G18" s="2"/>
    </row>
  </sheetData>
  <mergeCells count="6">
    <mergeCell ref="C18:F18"/>
    <mergeCell ref="A2:A4"/>
    <mergeCell ref="B2:B4"/>
    <mergeCell ref="C2:C4"/>
    <mergeCell ref="D2:E2"/>
    <mergeCell ref="F2:F4"/>
  </mergeCells>
  <pageMargins left="0.7" right="0.7" top="0.75" bottom="0.75" header="0.3" footer="0.3"/>
  <pageSetup paperSize="9" scale="63"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A9DDD-83E2-409C-A002-F29BBC229315}">
  <dimension ref="A2:G20"/>
  <sheetViews>
    <sheetView topLeftCell="A4" zoomScaleNormal="100" workbookViewId="0">
      <selection activeCell="J17" sqref="J17"/>
    </sheetView>
  </sheetViews>
  <sheetFormatPr defaultColWidth="9.08203125" defaultRowHeight="20.5"/>
  <cols>
    <col min="1" max="1" width="9.08203125" style="1"/>
    <col min="2" max="2" width="42.58203125" style="1" bestFit="1" customWidth="1"/>
    <col min="3" max="3" width="9.08203125" style="1"/>
    <col min="4" max="4" width="10.75" style="1" bestFit="1" customWidth="1"/>
    <col min="5" max="5" width="12.83203125" style="1" bestFit="1" customWidth="1"/>
    <col min="6" max="6" width="22.5820312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30" t="s">
        <v>57</v>
      </c>
      <c r="C5" s="12">
        <v>6</v>
      </c>
      <c r="D5" s="13">
        <v>690</v>
      </c>
      <c r="E5" s="14">
        <f>C5*D5</f>
        <v>4140</v>
      </c>
      <c r="F5" s="10">
        <v>30</v>
      </c>
      <c r="G5" s="29"/>
    </row>
    <row r="6" spans="1:7">
      <c r="A6" s="10">
        <v>2</v>
      </c>
      <c r="B6" s="30" t="s">
        <v>58</v>
      </c>
      <c r="C6" s="12">
        <v>4</v>
      </c>
      <c r="D6" s="13">
        <v>590</v>
      </c>
      <c r="E6" s="14">
        <f t="shared" ref="E6:E12" si="0">C6*D6</f>
        <v>2360</v>
      </c>
      <c r="F6" s="10">
        <v>30</v>
      </c>
      <c r="G6" s="29" t="s">
        <v>51</v>
      </c>
    </row>
    <row r="7" spans="1:7" ht="41">
      <c r="A7" s="10">
        <v>3</v>
      </c>
      <c r="B7" s="30" t="s">
        <v>64</v>
      </c>
      <c r="C7" s="12">
        <v>4</v>
      </c>
      <c r="D7" s="13">
        <v>1500</v>
      </c>
      <c r="E7" s="14">
        <f t="shared" si="0"/>
        <v>6000</v>
      </c>
      <c r="F7" s="10">
        <v>30</v>
      </c>
      <c r="G7" s="15" t="s">
        <v>30</v>
      </c>
    </row>
    <row r="8" spans="1:7">
      <c r="A8" s="10">
        <v>4</v>
      </c>
      <c r="B8" s="30" t="s">
        <v>59</v>
      </c>
      <c r="C8" s="12">
        <v>20</v>
      </c>
      <c r="D8" s="13">
        <v>360</v>
      </c>
      <c r="E8" s="14">
        <f t="shared" si="0"/>
        <v>7200</v>
      </c>
      <c r="F8" s="10">
        <v>30</v>
      </c>
      <c r="G8" s="27" t="s">
        <v>48</v>
      </c>
    </row>
    <row r="9" spans="1:7">
      <c r="A9" s="10">
        <v>5</v>
      </c>
      <c r="B9" s="30" t="s">
        <v>60</v>
      </c>
      <c r="C9" s="12">
        <v>20</v>
      </c>
      <c r="D9" s="13">
        <v>290</v>
      </c>
      <c r="E9" s="14">
        <f t="shared" si="0"/>
        <v>5800</v>
      </c>
      <c r="F9" s="10">
        <v>30</v>
      </c>
      <c r="G9" s="31" t="s">
        <v>33</v>
      </c>
    </row>
    <row r="10" spans="1:7" ht="41">
      <c r="A10" s="10">
        <v>6</v>
      </c>
      <c r="B10" s="30" t="s">
        <v>62</v>
      </c>
      <c r="C10" s="12">
        <v>3</v>
      </c>
      <c r="D10" s="13">
        <v>280</v>
      </c>
      <c r="E10" s="14">
        <f t="shared" si="0"/>
        <v>840</v>
      </c>
      <c r="F10" s="10">
        <v>30</v>
      </c>
      <c r="G10" s="33"/>
    </row>
    <row r="11" spans="1:7" ht="41">
      <c r="A11" s="10">
        <v>7</v>
      </c>
      <c r="B11" s="32" t="s">
        <v>63</v>
      </c>
      <c r="C11" s="12">
        <v>30</v>
      </c>
      <c r="D11" s="13">
        <v>45</v>
      </c>
      <c r="E11" s="14">
        <f t="shared" si="0"/>
        <v>1350</v>
      </c>
      <c r="F11" s="10">
        <v>30</v>
      </c>
      <c r="G11" s="29" t="s">
        <v>50</v>
      </c>
    </row>
    <row r="12" spans="1:7">
      <c r="A12" s="10">
        <v>8</v>
      </c>
      <c r="B12" s="30" t="s">
        <v>61</v>
      </c>
      <c r="C12" s="12">
        <v>1</v>
      </c>
      <c r="D12" s="13">
        <v>5690</v>
      </c>
      <c r="E12" s="14">
        <f t="shared" si="0"/>
        <v>5690</v>
      </c>
      <c r="F12" s="10">
        <v>30</v>
      </c>
      <c r="G12" s="31" t="s">
        <v>28</v>
      </c>
    </row>
    <row r="13" spans="1:7">
      <c r="A13" s="10"/>
      <c r="B13" s="30"/>
      <c r="C13" s="12"/>
      <c r="D13" s="13"/>
      <c r="E13" s="14"/>
      <c r="F13" s="10"/>
      <c r="G13" s="31" t="s">
        <v>32</v>
      </c>
    </row>
    <row r="14" spans="1:7">
      <c r="A14" s="10"/>
      <c r="B14" s="30"/>
      <c r="C14" s="12"/>
      <c r="D14" s="13"/>
      <c r="E14" s="14"/>
      <c r="F14" s="10"/>
      <c r="G14" s="15" t="s">
        <v>29</v>
      </c>
    </row>
    <row r="15" spans="1:7">
      <c r="A15" s="10"/>
      <c r="B15" s="30"/>
      <c r="C15" s="12"/>
      <c r="D15" s="13"/>
      <c r="E15" s="14"/>
      <c r="F15" s="10"/>
      <c r="G15" s="2"/>
    </row>
    <row r="16" spans="1:7" ht="23">
      <c r="A16" s="2"/>
      <c r="B16" s="21" t="s">
        <v>6</v>
      </c>
      <c r="C16" s="12"/>
      <c r="D16" s="2"/>
      <c r="E16" s="22">
        <f>SUM(E5:E15)</f>
        <v>33380</v>
      </c>
      <c r="F16" s="2"/>
      <c r="G16" s="2"/>
    </row>
    <row r="17" spans="1:7" ht="24.5">
      <c r="A17" s="2"/>
      <c r="B17" s="21" t="s">
        <v>34</v>
      </c>
      <c r="C17" s="12"/>
      <c r="D17" s="2"/>
      <c r="E17" s="23">
        <f>E16*7%</f>
        <v>2336.6000000000004</v>
      </c>
      <c r="F17" s="2"/>
      <c r="G17" s="2"/>
    </row>
    <row r="18" spans="1:7" ht="24.5">
      <c r="A18" s="2"/>
      <c r="B18" s="20" t="s">
        <v>35</v>
      </c>
      <c r="C18" s="2"/>
      <c r="D18" s="2"/>
      <c r="E18" s="24">
        <f>SUM(E16:E17)</f>
        <v>35716.6</v>
      </c>
      <c r="F18" s="2"/>
      <c r="G18" s="2"/>
    </row>
    <row r="19" spans="1:7" ht="24.5">
      <c r="A19" s="2"/>
      <c r="B19" s="20"/>
      <c r="C19" s="2"/>
      <c r="D19" s="2"/>
      <c r="E19" s="24"/>
      <c r="F19" s="2"/>
      <c r="G19" s="2"/>
    </row>
    <row r="20" spans="1:7" ht="33">
      <c r="A20" s="2"/>
      <c r="B20" s="26" t="s">
        <v>36</v>
      </c>
      <c r="C20" s="205" t="str">
        <f>BAHTTEXT(E18)</f>
        <v>สามหมื่นห้าพันเจ็ดร้อยสิบหกบาทหกสิบสตางค์</v>
      </c>
      <c r="D20" s="205"/>
      <c r="E20" s="205"/>
      <c r="F20" s="205"/>
      <c r="G20" s="2"/>
    </row>
  </sheetData>
  <mergeCells count="6">
    <mergeCell ref="C20:F20"/>
    <mergeCell ref="A2:A4"/>
    <mergeCell ref="B2:B4"/>
    <mergeCell ref="C2:C4"/>
    <mergeCell ref="D2:E2"/>
    <mergeCell ref="F2:F4"/>
  </mergeCells>
  <pageMargins left="0.7" right="0.7" top="0.75" bottom="0.75" header="0.3" footer="0.3"/>
  <pageSetup paperSize="9" scale="63" orientation="portrait"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3AA2-0DA4-4DAE-85DE-A50425B0E93C}">
  <dimension ref="A2:G16"/>
  <sheetViews>
    <sheetView zoomScaleNormal="100" workbookViewId="0">
      <selection activeCell="B11" sqref="B11"/>
    </sheetView>
  </sheetViews>
  <sheetFormatPr defaultColWidth="9.08203125" defaultRowHeight="20.5"/>
  <cols>
    <col min="1" max="1" width="9.08203125" style="1"/>
    <col min="2" max="2" width="52.75" style="1" customWidth="1"/>
    <col min="3" max="3" width="9.08203125" style="1"/>
    <col min="4" max="4" width="10.75" style="1" bestFit="1" customWidth="1"/>
    <col min="5" max="5" width="12.83203125" style="1" bestFit="1" customWidth="1"/>
    <col min="6" max="6" width="17" style="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30" t="s">
        <v>52</v>
      </c>
      <c r="C5" s="12">
        <v>10</v>
      </c>
      <c r="D5" s="13">
        <v>290</v>
      </c>
      <c r="E5" s="14">
        <f>C5*D5</f>
        <v>2900</v>
      </c>
      <c r="F5" s="10">
        <v>30</v>
      </c>
      <c r="G5" s="29" t="s">
        <v>51</v>
      </c>
    </row>
    <row r="6" spans="1:7">
      <c r="A6" s="10">
        <v>2</v>
      </c>
      <c r="B6" s="30" t="s">
        <v>53</v>
      </c>
      <c r="C6" s="12">
        <v>1</v>
      </c>
      <c r="D6" s="13">
        <v>480</v>
      </c>
      <c r="E6" s="14">
        <f t="shared" ref="E6:E9" si="0">C6*D6</f>
        <v>480</v>
      </c>
      <c r="F6" s="10">
        <v>30</v>
      </c>
      <c r="G6" s="15" t="s">
        <v>30</v>
      </c>
    </row>
    <row r="7" spans="1:7">
      <c r="A7" s="10">
        <v>3</v>
      </c>
      <c r="B7" s="30" t="s">
        <v>54</v>
      </c>
      <c r="C7" s="12">
        <v>1</v>
      </c>
      <c r="D7" s="13">
        <v>1590</v>
      </c>
      <c r="E7" s="14">
        <f t="shared" si="0"/>
        <v>1590</v>
      </c>
      <c r="F7" s="10">
        <v>30</v>
      </c>
      <c r="G7" s="27" t="s">
        <v>48</v>
      </c>
    </row>
    <row r="8" spans="1:7">
      <c r="A8" s="10">
        <v>4</v>
      </c>
      <c r="B8" s="30" t="s">
        <v>55</v>
      </c>
      <c r="C8" s="12">
        <v>100</v>
      </c>
      <c r="D8" s="13">
        <v>85</v>
      </c>
      <c r="E8" s="14">
        <f t="shared" si="0"/>
        <v>8500</v>
      </c>
      <c r="F8" s="10">
        <v>30</v>
      </c>
      <c r="G8" s="15" t="s">
        <v>29</v>
      </c>
    </row>
    <row r="9" spans="1:7">
      <c r="A9" s="10">
        <v>5</v>
      </c>
      <c r="B9" s="30" t="s">
        <v>56</v>
      </c>
      <c r="C9" s="12">
        <v>2</v>
      </c>
      <c r="D9" s="13">
        <v>2690</v>
      </c>
      <c r="E9" s="14">
        <f t="shared" si="0"/>
        <v>5380</v>
      </c>
      <c r="F9" s="10">
        <v>30</v>
      </c>
      <c r="G9" s="27"/>
    </row>
    <row r="10" spans="1:7">
      <c r="A10" s="10"/>
      <c r="B10" s="11"/>
      <c r="C10" s="12"/>
      <c r="D10" s="16"/>
      <c r="E10" s="14"/>
      <c r="F10" s="10"/>
      <c r="G10" s="15"/>
    </row>
    <row r="11" spans="1:7">
      <c r="A11" s="10"/>
      <c r="B11" s="11"/>
      <c r="C11" s="12"/>
      <c r="D11" s="16"/>
      <c r="E11" s="14"/>
      <c r="F11" s="10"/>
      <c r="G11" s="29" t="s">
        <v>50</v>
      </c>
    </row>
    <row r="12" spans="1:7" ht="23">
      <c r="A12" s="2"/>
      <c r="B12" s="21" t="s">
        <v>6</v>
      </c>
      <c r="C12" s="12"/>
      <c r="D12" s="2"/>
      <c r="E12" s="22">
        <f>SUM(E5:E11)</f>
        <v>18850</v>
      </c>
      <c r="F12" s="2"/>
      <c r="G12" s="31" t="s">
        <v>28</v>
      </c>
    </row>
    <row r="13" spans="1:7" ht="24.5">
      <c r="A13" s="2"/>
      <c r="B13" s="21" t="s">
        <v>34</v>
      </c>
      <c r="C13" s="12"/>
      <c r="D13" s="2"/>
      <c r="E13" s="23">
        <f>E12*7%</f>
        <v>1319.5000000000002</v>
      </c>
      <c r="F13" s="2"/>
      <c r="G13" s="31" t="s">
        <v>32</v>
      </c>
    </row>
    <row r="14" spans="1:7" ht="24.5">
      <c r="A14" s="2"/>
      <c r="B14" s="20" t="s">
        <v>35</v>
      </c>
      <c r="C14" s="2"/>
      <c r="D14" s="2"/>
      <c r="E14" s="24">
        <f>SUM(E12:E13)</f>
        <v>20169.5</v>
      </c>
      <c r="F14" s="2"/>
      <c r="G14" s="31" t="s">
        <v>33</v>
      </c>
    </row>
    <row r="15" spans="1:7" ht="24.5">
      <c r="A15" s="2"/>
      <c r="B15" s="20"/>
      <c r="C15" s="2"/>
      <c r="D15" s="2"/>
      <c r="E15" s="24"/>
      <c r="F15" s="2"/>
      <c r="G15" s="2"/>
    </row>
    <row r="16" spans="1:7" ht="33">
      <c r="A16" s="2"/>
      <c r="B16" s="26" t="s">
        <v>36</v>
      </c>
      <c r="C16" s="205" t="str">
        <f>BAHTTEXT(E14)</f>
        <v>สองหมื่นหนึ่งร้อยหกสิบเก้าบาทห้าสิบสตางค์</v>
      </c>
      <c r="D16" s="205"/>
      <c r="E16" s="205"/>
      <c r="F16" s="205"/>
      <c r="G16" s="2"/>
    </row>
  </sheetData>
  <mergeCells count="6">
    <mergeCell ref="C16:F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4031E-4B99-4E44-84C4-7F9BE83925C3}">
  <dimension ref="A2:G16"/>
  <sheetViews>
    <sheetView topLeftCell="A4" zoomScaleNormal="100" workbookViewId="0">
      <selection activeCell="G12" sqref="G12"/>
    </sheetView>
  </sheetViews>
  <sheetFormatPr defaultColWidth="9.08203125" defaultRowHeight="20.5"/>
  <cols>
    <col min="1" max="1" width="9.08203125" style="1"/>
    <col min="2" max="2" width="52.75" style="1" customWidth="1"/>
    <col min="3" max="3" width="9.08203125" style="1"/>
    <col min="4" max="4" width="10.75" style="1" bestFit="1" customWidth="1"/>
    <col min="5" max="5" width="12.83203125" style="1" bestFit="1" customWidth="1"/>
    <col min="6" max="6" width="13.7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11" t="s">
        <v>45</v>
      </c>
      <c r="C5" s="12">
        <v>1</v>
      </c>
      <c r="D5" s="13">
        <v>8500</v>
      </c>
      <c r="E5" s="14">
        <v>8500</v>
      </c>
      <c r="F5" s="10">
        <v>30</v>
      </c>
      <c r="G5" s="29" t="s">
        <v>49</v>
      </c>
    </row>
    <row r="6" spans="1:7">
      <c r="A6" s="10"/>
      <c r="B6" s="11" t="s">
        <v>46</v>
      </c>
      <c r="C6" s="12"/>
      <c r="D6" s="13"/>
      <c r="E6" s="14"/>
      <c r="F6" s="10"/>
      <c r="G6" s="15" t="s">
        <v>48</v>
      </c>
    </row>
    <row r="7" spans="1:7">
      <c r="A7" s="10"/>
      <c r="B7" s="11" t="s">
        <v>47</v>
      </c>
      <c r="C7" s="12"/>
      <c r="D7" s="13"/>
      <c r="E7" s="14"/>
      <c r="F7" s="10"/>
      <c r="G7" s="15" t="s">
        <v>30</v>
      </c>
    </row>
    <row r="8" spans="1:7">
      <c r="A8" s="10"/>
      <c r="B8" s="11"/>
      <c r="C8" s="12"/>
      <c r="D8" s="13"/>
      <c r="E8" s="14"/>
      <c r="F8" s="10"/>
      <c r="G8" s="15" t="s">
        <v>33</v>
      </c>
    </row>
    <row r="9" spans="1:7">
      <c r="A9" s="10"/>
      <c r="B9" s="11"/>
      <c r="C9" s="12"/>
      <c r="D9" s="13"/>
      <c r="E9" s="14"/>
      <c r="F9" s="10"/>
      <c r="G9" s="2"/>
    </row>
    <row r="10" spans="1:7">
      <c r="A10" s="10"/>
      <c r="B10" s="11"/>
      <c r="C10" s="12"/>
      <c r="D10" s="16"/>
      <c r="E10" s="14"/>
      <c r="F10" s="10"/>
      <c r="G10" s="28" t="s">
        <v>50</v>
      </c>
    </row>
    <row r="11" spans="1:7">
      <c r="A11" s="10"/>
      <c r="B11" s="11"/>
      <c r="C11" s="12"/>
      <c r="D11" s="16"/>
      <c r="E11" s="14"/>
      <c r="F11" s="10"/>
      <c r="G11" s="15" t="s">
        <v>28</v>
      </c>
    </row>
    <row r="12" spans="1:7" ht="23">
      <c r="A12" s="2"/>
      <c r="B12" s="21" t="s">
        <v>6</v>
      </c>
      <c r="C12" s="12"/>
      <c r="D12" s="2"/>
      <c r="E12" s="22">
        <f>SUM(E5:E11)</f>
        <v>8500</v>
      </c>
      <c r="F12" s="2"/>
      <c r="G12" s="15" t="s">
        <v>32</v>
      </c>
    </row>
    <row r="13" spans="1:7" ht="24.5">
      <c r="A13" s="2"/>
      <c r="B13" s="21" t="s">
        <v>34</v>
      </c>
      <c r="C13" s="12"/>
      <c r="D13" s="2"/>
      <c r="E13" s="23">
        <f>E12*0%</f>
        <v>0</v>
      </c>
      <c r="F13" s="2"/>
      <c r="G13" s="15" t="s">
        <v>29</v>
      </c>
    </row>
    <row r="14" spans="1:7" ht="24.5">
      <c r="A14" s="2"/>
      <c r="B14" s="20" t="s">
        <v>35</v>
      </c>
      <c r="C14" s="2"/>
      <c r="D14" s="2"/>
      <c r="E14" s="24">
        <f>SUM(E12:E13)</f>
        <v>8500</v>
      </c>
      <c r="F14" s="2"/>
      <c r="G14" s="2"/>
    </row>
    <row r="15" spans="1:7" ht="24.5">
      <c r="A15" s="2"/>
      <c r="B15" s="20"/>
      <c r="C15" s="2"/>
      <c r="D15" s="2"/>
      <c r="E15" s="24"/>
      <c r="F15" s="2"/>
      <c r="G15" s="2"/>
    </row>
    <row r="16" spans="1:7" ht="33">
      <c r="A16" s="2"/>
      <c r="B16" s="26" t="s">
        <v>36</v>
      </c>
      <c r="C16" s="205" t="str">
        <f>BAHTTEXT(E14)</f>
        <v>แปดพันห้าร้อยบาทถ้วน</v>
      </c>
      <c r="D16" s="205"/>
      <c r="E16" s="205"/>
      <c r="F16" s="205"/>
      <c r="G16" s="2"/>
    </row>
  </sheetData>
  <mergeCells count="6">
    <mergeCell ref="C16:F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2F19-7F75-4720-8CC2-611D9311FF8B}">
  <dimension ref="A2:G16"/>
  <sheetViews>
    <sheetView zoomScaleNormal="100" workbookViewId="0">
      <selection activeCell="F1" sqref="F1:F1048576"/>
    </sheetView>
  </sheetViews>
  <sheetFormatPr defaultColWidth="9.08203125" defaultRowHeight="20.5"/>
  <cols>
    <col min="1" max="1" width="9.08203125" style="1"/>
    <col min="2" max="2" width="52.75" style="1" customWidth="1"/>
    <col min="3" max="3" width="9.08203125" style="1"/>
    <col min="4" max="4" width="10.75" style="1" bestFit="1" customWidth="1"/>
    <col min="5" max="5" width="12.83203125" style="1" bestFit="1" customWidth="1"/>
    <col min="6" max="6" width="13.7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11" t="s">
        <v>44</v>
      </c>
      <c r="C5" s="12">
        <v>20</v>
      </c>
      <c r="D5" s="13">
        <v>199</v>
      </c>
      <c r="E5" s="14">
        <f>C5*D5</f>
        <v>3980</v>
      </c>
      <c r="F5" s="10">
        <v>30</v>
      </c>
      <c r="G5" s="15" t="s">
        <v>28</v>
      </c>
    </row>
    <row r="6" spans="1:7">
      <c r="A6" s="10"/>
      <c r="B6" s="11"/>
      <c r="C6" s="12"/>
      <c r="D6" s="13"/>
      <c r="E6" s="14"/>
      <c r="F6" s="10"/>
      <c r="G6" s="15" t="s">
        <v>30</v>
      </c>
    </row>
    <row r="7" spans="1:7">
      <c r="A7" s="10"/>
      <c r="B7" s="11"/>
      <c r="C7" s="12"/>
      <c r="D7" s="13"/>
      <c r="E7" s="14"/>
      <c r="F7" s="10"/>
      <c r="G7" s="15" t="s">
        <v>29</v>
      </c>
    </row>
    <row r="8" spans="1:7">
      <c r="A8" s="10"/>
      <c r="B8" s="11"/>
      <c r="C8" s="12"/>
      <c r="D8" s="13"/>
      <c r="E8" s="14"/>
      <c r="F8" s="10"/>
      <c r="G8" s="10"/>
    </row>
    <row r="9" spans="1:7">
      <c r="A9" s="10"/>
      <c r="B9" s="11"/>
      <c r="C9" s="12"/>
      <c r="D9" s="13"/>
      <c r="E9" s="14"/>
      <c r="F9" s="10"/>
      <c r="G9" s="15" t="s">
        <v>31</v>
      </c>
    </row>
    <row r="10" spans="1:7">
      <c r="A10" s="10"/>
      <c r="B10" s="11"/>
      <c r="C10" s="12"/>
      <c r="D10" s="16"/>
      <c r="E10" s="14"/>
      <c r="F10" s="10"/>
      <c r="G10" s="15" t="s">
        <v>32</v>
      </c>
    </row>
    <row r="11" spans="1:7">
      <c r="A11" s="10"/>
      <c r="B11" s="11"/>
      <c r="C11" s="12"/>
      <c r="D11" s="16"/>
      <c r="E11" s="14"/>
      <c r="F11" s="10"/>
      <c r="G11" s="15" t="s">
        <v>33</v>
      </c>
    </row>
    <row r="12" spans="1:7" ht="23">
      <c r="A12" s="2"/>
      <c r="B12" s="21" t="s">
        <v>6</v>
      </c>
      <c r="C12" s="12"/>
      <c r="D12" s="2"/>
      <c r="E12" s="22">
        <f>SUM(E5:E11)</f>
        <v>3980</v>
      </c>
      <c r="F12" s="2"/>
      <c r="G12" s="2"/>
    </row>
    <row r="13" spans="1:7" ht="24.5">
      <c r="A13" s="2"/>
      <c r="B13" s="21" t="s">
        <v>34</v>
      </c>
      <c r="C13" s="12"/>
      <c r="D13" s="2"/>
      <c r="E13" s="23">
        <f>E12*7%</f>
        <v>278.60000000000002</v>
      </c>
      <c r="F13" s="2"/>
      <c r="G13" s="2"/>
    </row>
    <row r="14" spans="1:7" ht="24.5">
      <c r="A14" s="2"/>
      <c r="B14" s="20" t="s">
        <v>35</v>
      </c>
      <c r="C14" s="2"/>
      <c r="D14" s="2"/>
      <c r="E14" s="24">
        <f>SUM(E12:E13)</f>
        <v>4258.6000000000004</v>
      </c>
      <c r="F14" s="2"/>
      <c r="G14" s="2"/>
    </row>
    <row r="15" spans="1:7" ht="24.5">
      <c r="A15" s="2"/>
      <c r="B15" s="20"/>
      <c r="C15" s="2"/>
      <c r="D15" s="2"/>
      <c r="E15" s="24"/>
      <c r="F15" s="2"/>
      <c r="G15" s="2"/>
    </row>
    <row r="16" spans="1:7" ht="33">
      <c r="A16" s="2"/>
      <c r="B16" s="26" t="s">
        <v>36</v>
      </c>
      <c r="C16" s="205" t="str">
        <f>BAHTTEXT(E14)</f>
        <v>สี่พันสองร้อยห้าสิบแปดบาทหกสิบสตางค์</v>
      </c>
      <c r="D16" s="205"/>
      <c r="E16" s="205"/>
      <c r="F16" s="205"/>
      <c r="G16" s="2"/>
    </row>
  </sheetData>
  <mergeCells count="6">
    <mergeCell ref="C16:F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41EB-834D-4566-BDE7-805AD618427B}">
  <dimension ref="A2:G16"/>
  <sheetViews>
    <sheetView zoomScaleNormal="100" workbookViewId="0">
      <selection activeCell="H6" sqref="H6"/>
    </sheetView>
  </sheetViews>
  <sheetFormatPr defaultColWidth="9.08203125" defaultRowHeight="20.5"/>
  <cols>
    <col min="1" max="1" width="9.08203125" style="1"/>
    <col min="2" max="2" width="55.25" style="1" customWidth="1"/>
    <col min="3" max="3" width="9.08203125" style="1"/>
    <col min="4" max="4" width="10.75" style="1" bestFit="1" customWidth="1"/>
    <col min="5" max="5" width="12.83203125" style="1" bestFit="1" customWidth="1"/>
    <col min="6" max="6" width="22.5820312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11" t="s">
        <v>43</v>
      </c>
      <c r="C5" s="12">
        <v>8</v>
      </c>
      <c r="D5" s="13">
        <v>3925</v>
      </c>
      <c r="E5" s="14">
        <f>C5*D5</f>
        <v>31400</v>
      </c>
      <c r="F5" s="10">
        <v>30</v>
      </c>
      <c r="G5" s="15" t="s">
        <v>28</v>
      </c>
    </row>
    <row r="6" spans="1:7">
      <c r="A6" s="10"/>
      <c r="B6" s="11"/>
      <c r="C6" s="12"/>
      <c r="D6" s="13"/>
      <c r="E6" s="14"/>
      <c r="F6" s="10"/>
      <c r="G6" s="15" t="s">
        <v>30</v>
      </c>
    </row>
    <row r="7" spans="1:7">
      <c r="A7" s="10"/>
      <c r="B7" s="11"/>
      <c r="C7" s="12"/>
      <c r="D7" s="13"/>
      <c r="E7" s="14"/>
      <c r="F7" s="10"/>
      <c r="G7" s="15" t="s">
        <v>29</v>
      </c>
    </row>
    <row r="8" spans="1:7">
      <c r="A8" s="10"/>
      <c r="B8" s="11"/>
      <c r="C8" s="12"/>
      <c r="D8" s="13"/>
      <c r="E8" s="14"/>
      <c r="F8" s="10"/>
      <c r="G8" s="10"/>
    </row>
    <row r="9" spans="1:7">
      <c r="A9" s="10"/>
      <c r="B9" s="11"/>
      <c r="C9" s="12"/>
      <c r="D9" s="13"/>
      <c r="E9" s="14"/>
      <c r="F9" s="10"/>
      <c r="G9" s="15" t="s">
        <v>31</v>
      </c>
    </row>
    <row r="10" spans="1:7">
      <c r="A10" s="10"/>
      <c r="B10" s="11"/>
      <c r="C10" s="12"/>
      <c r="D10" s="16"/>
      <c r="E10" s="14"/>
      <c r="F10" s="10"/>
      <c r="G10" s="15" t="s">
        <v>32</v>
      </c>
    </row>
    <row r="11" spans="1:7">
      <c r="A11" s="10"/>
      <c r="B11" s="11"/>
      <c r="C11" s="12"/>
      <c r="D11" s="16"/>
      <c r="E11" s="14"/>
      <c r="F11" s="10"/>
      <c r="G11" s="15" t="s">
        <v>33</v>
      </c>
    </row>
    <row r="12" spans="1:7" ht="23">
      <c r="A12" s="2"/>
      <c r="B12" s="21" t="s">
        <v>6</v>
      </c>
      <c r="C12" s="12"/>
      <c r="D12" s="2"/>
      <c r="E12" s="22">
        <f>SUM(E5:E11)</f>
        <v>31400</v>
      </c>
      <c r="F12" s="2"/>
      <c r="G12" s="2"/>
    </row>
    <row r="13" spans="1:7" ht="24.5">
      <c r="A13" s="2"/>
      <c r="B13" s="21" t="s">
        <v>34</v>
      </c>
      <c r="C13" s="12"/>
      <c r="D13" s="2"/>
      <c r="E13" s="23">
        <f>E12*7%</f>
        <v>2198</v>
      </c>
      <c r="F13" s="2"/>
      <c r="G13" s="2"/>
    </row>
    <row r="14" spans="1:7" ht="24.5">
      <c r="A14" s="2"/>
      <c r="B14" s="20" t="s">
        <v>35</v>
      </c>
      <c r="C14" s="2"/>
      <c r="D14" s="2"/>
      <c r="E14" s="24">
        <f>SUM(E12:E13)</f>
        <v>33598</v>
      </c>
      <c r="F14" s="2"/>
      <c r="G14" s="2"/>
    </row>
    <row r="15" spans="1:7" ht="24.5">
      <c r="A15" s="2"/>
      <c r="B15" s="20"/>
      <c r="C15" s="2"/>
      <c r="D15" s="2"/>
      <c r="E15" s="24"/>
      <c r="F15" s="2"/>
      <c r="G15" s="2"/>
    </row>
    <row r="16" spans="1:7" ht="33">
      <c r="A16" s="2"/>
      <c r="B16" s="26" t="s">
        <v>36</v>
      </c>
      <c r="C16" s="205" t="str">
        <f>BAHTTEXT(E14)</f>
        <v>สามหมื่นสามพันห้าร้อยเก้าสิบแปดบาทถ้วน</v>
      </c>
      <c r="D16" s="205"/>
      <c r="E16" s="205"/>
      <c r="F16" s="205"/>
      <c r="G16" s="2"/>
    </row>
  </sheetData>
  <mergeCells count="6">
    <mergeCell ref="C16:F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0BFA6-320A-4E66-B420-A17BCAA2D5B0}">
  <dimension ref="A2:G16"/>
  <sheetViews>
    <sheetView zoomScaleNormal="100" workbookViewId="0">
      <selection activeCell="L10" sqref="L10"/>
    </sheetView>
  </sheetViews>
  <sheetFormatPr defaultColWidth="9.08203125" defaultRowHeight="20.5"/>
  <cols>
    <col min="1" max="1" width="9.08203125" style="1"/>
    <col min="2" max="2" width="52.75" style="1" customWidth="1"/>
    <col min="3" max="3" width="9.08203125" style="1"/>
    <col min="4" max="4" width="10.75" style="1" bestFit="1" customWidth="1"/>
    <col min="5" max="5" width="12.83203125" style="1" bestFit="1" customWidth="1"/>
    <col min="6" max="6" width="13.7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c r="A5" s="10">
        <v>1</v>
      </c>
      <c r="B5" s="11" t="s">
        <v>37</v>
      </c>
      <c r="C5" s="12">
        <v>50</v>
      </c>
      <c r="D5" s="13">
        <v>25</v>
      </c>
      <c r="E5" s="14">
        <f>C5*D5</f>
        <v>1250</v>
      </c>
      <c r="F5" s="10">
        <v>30</v>
      </c>
      <c r="G5" s="15" t="s">
        <v>28</v>
      </c>
    </row>
    <row r="6" spans="1:7">
      <c r="A6" s="10">
        <v>2</v>
      </c>
      <c r="B6" s="11" t="s">
        <v>38</v>
      </c>
      <c r="C6" s="12">
        <v>50</v>
      </c>
      <c r="D6" s="13">
        <v>25</v>
      </c>
      <c r="E6" s="14">
        <f t="shared" ref="E6:E10" si="0">C6*D6</f>
        <v>1250</v>
      </c>
      <c r="F6" s="10">
        <v>30</v>
      </c>
      <c r="G6" s="15" t="s">
        <v>30</v>
      </c>
    </row>
    <row r="7" spans="1:7">
      <c r="A7" s="10">
        <v>3</v>
      </c>
      <c r="B7" s="11" t="s">
        <v>39</v>
      </c>
      <c r="C7" s="12">
        <v>50</v>
      </c>
      <c r="D7" s="13">
        <v>30</v>
      </c>
      <c r="E7" s="14">
        <f t="shared" si="0"/>
        <v>1500</v>
      </c>
      <c r="F7" s="10">
        <v>30</v>
      </c>
      <c r="G7" s="15" t="s">
        <v>29</v>
      </c>
    </row>
    <row r="8" spans="1:7">
      <c r="A8" s="10">
        <v>4</v>
      </c>
      <c r="B8" s="11" t="s">
        <v>40</v>
      </c>
      <c r="C8" s="12">
        <v>50</v>
      </c>
      <c r="D8" s="13">
        <v>40</v>
      </c>
      <c r="E8" s="14">
        <f t="shared" si="0"/>
        <v>2000</v>
      </c>
      <c r="F8" s="10">
        <v>30</v>
      </c>
      <c r="G8" s="10"/>
    </row>
    <row r="9" spans="1:7">
      <c r="A9" s="10">
        <v>5</v>
      </c>
      <c r="B9" s="11" t="s">
        <v>41</v>
      </c>
      <c r="C9" s="12">
        <v>50</v>
      </c>
      <c r="D9" s="13">
        <v>750</v>
      </c>
      <c r="E9" s="14">
        <f t="shared" si="0"/>
        <v>37500</v>
      </c>
      <c r="F9" s="10">
        <v>30</v>
      </c>
      <c r="G9" s="15" t="s">
        <v>31</v>
      </c>
    </row>
    <row r="10" spans="1:7">
      <c r="A10" s="10">
        <v>6</v>
      </c>
      <c r="B10" s="11" t="s">
        <v>42</v>
      </c>
      <c r="C10" s="12">
        <v>20</v>
      </c>
      <c r="D10" s="16">
        <v>750</v>
      </c>
      <c r="E10" s="14">
        <f t="shared" si="0"/>
        <v>15000</v>
      </c>
      <c r="F10" s="10">
        <v>30</v>
      </c>
      <c r="G10" s="15" t="s">
        <v>32</v>
      </c>
    </row>
    <row r="11" spans="1:7">
      <c r="A11" s="10"/>
      <c r="B11" s="11"/>
      <c r="C11" s="12"/>
      <c r="D11" s="16"/>
      <c r="E11" s="14"/>
      <c r="F11" s="10">
        <v>30</v>
      </c>
      <c r="G11" s="15" t="s">
        <v>33</v>
      </c>
    </row>
    <row r="12" spans="1:7" ht="23">
      <c r="A12" s="2"/>
      <c r="B12" s="21" t="s">
        <v>6</v>
      </c>
      <c r="C12" s="12"/>
      <c r="D12" s="2"/>
      <c r="E12" s="22">
        <f>SUM(E5:E11)</f>
        <v>58500</v>
      </c>
      <c r="F12" s="2"/>
      <c r="G12" s="2"/>
    </row>
    <row r="13" spans="1:7" ht="24.5">
      <c r="A13" s="2"/>
      <c r="B13" s="21" t="s">
        <v>34</v>
      </c>
      <c r="C13" s="12"/>
      <c r="D13" s="2"/>
      <c r="E13" s="23">
        <f>E12*7%</f>
        <v>4095.0000000000005</v>
      </c>
      <c r="F13" s="2"/>
      <c r="G13" s="2"/>
    </row>
    <row r="14" spans="1:7" ht="24.5">
      <c r="A14" s="2"/>
      <c r="B14" s="20" t="s">
        <v>35</v>
      </c>
      <c r="C14" s="2"/>
      <c r="D14" s="2"/>
      <c r="E14" s="24">
        <f>SUM(E12:E13)</f>
        <v>62595</v>
      </c>
      <c r="F14" s="2"/>
      <c r="G14" s="2"/>
    </row>
    <row r="15" spans="1:7" ht="24.5">
      <c r="A15" s="2"/>
      <c r="B15" s="20"/>
      <c r="C15" s="2"/>
      <c r="D15" s="2"/>
      <c r="E15" s="24"/>
      <c r="F15" s="2"/>
      <c r="G15" s="2"/>
    </row>
    <row r="16" spans="1:7" ht="33">
      <c r="A16" s="2"/>
      <c r="B16" s="26" t="s">
        <v>36</v>
      </c>
      <c r="C16" s="205" t="str">
        <f>BAHTTEXT(E14)</f>
        <v>หกหมื่นสองพันห้าร้อยเก้าสิบห้าบาทถ้วน</v>
      </c>
      <c r="D16" s="205"/>
      <c r="E16" s="205"/>
      <c r="F16" s="205"/>
      <c r="G16" s="2"/>
    </row>
  </sheetData>
  <mergeCells count="6">
    <mergeCell ref="C16:F16"/>
    <mergeCell ref="A2:A4"/>
    <mergeCell ref="B2:B4"/>
    <mergeCell ref="C2:C4"/>
    <mergeCell ref="D2:E2"/>
    <mergeCell ref="F2:F4"/>
  </mergeCells>
  <pageMargins left="0.7" right="0.7" top="0.75" bottom="0.75" header="0.3" footer="0.3"/>
  <pageSetup paperSize="9" scale="63"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250C9-E9A4-4B6C-A521-5CA0EBFCE94E}">
  <dimension ref="A2:G26"/>
  <sheetViews>
    <sheetView topLeftCell="A18" workbookViewId="0">
      <selection activeCell="I6" sqref="I6"/>
    </sheetView>
  </sheetViews>
  <sheetFormatPr defaultColWidth="9.08203125" defaultRowHeight="20.5"/>
  <cols>
    <col min="1" max="1" width="9.08203125" style="1"/>
    <col min="2" max="2" width="48.25" style="1" bestFit="1" customWidth="1"/>
    <col min="3" max="3" width="9.08203125" style="1"/>
    <col min="4" max="4" width="10.75" style="1" bestFit="1" customWidth="1"/>
    <col min="5" max="5" width="12.83203125" style="1" bestFit="1" customWidth="1"/>
    <col min="6" max="6" width="13.75" style="1" bestFit="1" customWidth="1"/>
    <col min="7" max="7" width="29.25" style="1" customWidth="1"/>
    <col min="8" max="16384" width="9.08203125" style="1"/>
  </cols>
  <sheetData>
    <row r="2" spans="1:7">
      <c r="A2" s="206" t="s">
        <v>0</v>
      </c>
      <c r="B2" s="207" t="s">
        <v>1</v>
      </c>
      <c r="C2" s="206" t="s">
        <v>2</v>
      </c>
      <c r="D2" s="208" t="s">
        <v>3</v>
      </c>
      <c r="E2" s="209"/>
      <c r="F2" s="207" t="s">
        <v>7</v>
      </c>
      <c r="G2" s="4" t="s">
        <v>8</v>
      </c>
    </row>
    <row r="3" spans="1:7">
      <c r="A3" s="206"/>
      <c r="B3" s="207"/>
      <c r="C3" s="206"/>
      <c r="D3" s="5" t="s">
        <v>5</v>
      </c>
      <c r="E3" s="6" t="s">
        <v>6</v>
      </c>
      <c r="F3" s="207"/>
      <c r="G3" s="7" t="s">
        <v>9</v>
      </c>
    </row>
    <row r="4" spans="1:7">
      <c r="A4" s="206"/>
      <c r="B4" s="207"/>
      <c r="C4" s="206"/>
      <c r="D4" s="8" t="s">
        <v>4</v>
      </c>
      <c r="E4" s="8" t="s">
        <v>4</v>
      </c>
      <c r="F4" s="207"/>
      <c r="G4" s="9" t="s">
        <v>10</v>
      </c>
    </row>
    <row r="5" spans="1:7" ht="41">
      <c r="A5" s="10">
        <v>1</v>
      </c>
      <c r="B5" s="11" t="s">
        <v>11</v>
      </c>
      <c r="C5" s="12">
        <v>50</v>
      </c>
      <c r="D5" s="13">
        <v>25</v>
      </c>
      <c r="E5" s="14">
        <f>C5*D5</f>
        <v>1250</v>
      </c>
      <c r="F5" s="10">
        <v>30</v>
      </c>
      <c r="G5" s="15" t="s">
        <v>28</v>
      </c>
    </row>
    <row r="6" spans="1:7" ht="41">
      <c r="A6" s="10">
        <v>2</v>
      </c>
      <c r="B6" s="11" t="s">
        <v>12</v>
      </c>
      <c r="C6" s="12">
        <v>50</v>
      </c>
      <c r="D6" s="13">
        <v>25</v>
      </c>
      <c r="E6" s="14">
        <f t="shared" ref="E6:E21" si="0">C6*D6</f>
        <v>1250</v>
      </c>
      <c r="F6" s="10">
        <v>30</v>
      </c>
      <c r="G6" s="15" t="s">
        <v>30</v>
      </c>
    </row>
    <row r="7" spans="1:7" ht="41">
      <c r="A7" s="10">
        <v>3</v>
      </c>
      <c r="B7" s="11" t="s">
        <v>13</v>
      </c>
      <c r="C7" s="12">
        <v>50</v>
      </c>
      <c r="D7" s="13">
        <v>25</v>
      </c>
      <c r="E7" s="14">
        <f t="shared" si="0"/>
        <v>1250</v>
      </c>
      <c r="F7" s="10">
        <v>30</v>
      </c>
      <c r="G7" s="15" t="s">
        <v>29</v>
      </c>
    </row>
    <row r="8" spans="1:7" ht="41">
      <c r="A8" s="10">
        <v>4</v>
      </c>
      <c r="B8" s="11" t="s">
        <v>14</v>
      </c>
      <c r="C8" s="12">
        <v>50</v>
      </c>
      <c r="D8" s="13">
        <v>25</v>
      </c>
      <c r="E8" s="14">
        <f t="shared" si="0"/>
        <v>1250</v>
      </c>
      <c r="F8" s="10">
        <v>30</v>
      </c>
      <c r="G8" s="10"/>
    </row>
    <row r="9" spans="1:7" ht="41">
      <c r="A9" s="10">
        <v>5</v>
      </c>
      <c r="B9" s="11" t="s">
        <v>15</v>
      </c>
      <c r="C9" s="12">
        <v>50</v>
      </c>
      <c r="D9" s="13">
        <v>25</v>
      </c>
      <c r="E9" s="14">
        <f t="shared" si="0"/>
        <v>1250</v>
      </c>
      <c r="F9" s="10">
        <v>30</v>
      </c>
      <c r="G9" s="10"/>
    </row>
    <row r="10" spans="1:7">
      <c r="A10" s="10">
        <v>6</v>
      </c>
      <c r="B10" s="11" t="s">
        <v>16</v>
      </c>
      <c r="C10" s="12">
        <v>50</v>
      </c>
      <c r="D10" s="16">
        <v>30</v>
      </c>
      <c r="E10" s="14">
        <f t="shared" si="0"/>
        <v>1500</v>
      </c>
      <c r="F10" s="10">
        <v>30</v>
      </c>
      <c r="G10" s="10"/>
    </row>
    <row r="11" spans="1:7">
      <c r="A11" s="10">
        <v>7</v>
      </c>
      <c r="B11" s="11" t="s">
        <v>17</v>
      </c>
      <c r="C11" s="17">
        <v>50</v>
      </c>
      <c r="D11" s="16">
        <v>25</v>
      </c>
      <c r="E11" s="14">
        <f t="shared" si="0"/>
        <v>1250</v>
      </c>
      <c r="F11" s="10">
        <v>30</v>
      </c>
      <c r="G11" s="10"/>
    </row>
    <row r="12" spans="1:7">
      <c r="A12" s="10">
        <v>8</v>
      </c>
      <c r="B12" s="11" t="s">
        <v>18</v>
      </c>
      <c r="C12" s="17">
        <v>50</v>
      </c>
      <c r="D12" s="16">
        <v>25</v>
      </c>
      <c r="E12" s="14">
        <f t="shared" si="0"/>
        <v>1250</v>
      </c>
      <c r="F12" s="10">
        <v>30</v>
      </c>
      <c r="G12" s="15" t="s">
        <v>31</v>
      </c>
    </row>
    <row r="13" spans="1:7">
      <c r="A13" s="10">
        <v>9</v>
      </c>
      <c r="B13" s="11" t="s">
        <v>19</v>
      </c>
      <c r="C13" s="17">
        <v>50</v>
      </c>
      <c r="D13" s="16">
        <v>25</v>
      </c>
      <c r="E13" s="14">
        <f t="shared" si="0"/>
        <v>1250</v>
      </c>
      <c r="F13" s="10">
        <v>30</v>
      </c>
      <c r="G13" s="15" t="s">
        <v>32</v>
      </c>
    </row>
    <row r="14" spans="1:7">
      <c r="A14" s="10">
        <v>10</v>
      </c>
      <c r="B14" s="11" t="s">
        <v>20</v>
      </c>
      <c r="C14" s="18">
        <v>50</v>
      </c>
      <c r="D14" s="16">
        <v>25</v>
      </c>
      <c r="E14" s="14">
        <f t="shared" si="0"/>
        <v>1250</v>
      </c>
      <c r="F14" s="10">
        <v>30</v>
      </c>
      <c r="G14" s="15" t="s">
        <v>33</v>
      </c>
    </row>
    <row r="15" spans="1:7">
      <c r="A15" s="10">
        <v>11</v>
      </c>
      <c r="B15" s="11" t="s">
        <v>21</v>
      </c>
      <c r="C15" s="18">
        <v>50</v>
      </c>
      <c r="D15" s="16">
        <v>25</v>
      </c>
      <c r="E15" s="14">
        <f t="shared" si="0"/>
        <v>1250</v>
      </c>
      <c r="F15" s="10">
        <v>30</v>
      </c>
      <c r="G15" s="10"/>
    </row>
    <row r="16" spans="1:7" ht="41">
      <c r="A16" s="10">
        <v>12</v>
      </c>
      <c r="B16" s="11" t="s">
        <v>22</v>
      </c>
      <c r="C16" s="12">
        <v>10</v>
      </c>
      <c r="D16" s="16">
        <v>40</v>
      </c>
      <c r="E16" s="14">
        <f t="shared" si="0"/>
        <v>400</v>
      </c>
      <c r="F16" s="10">
        <v>30</v>
      </c>
      <c r="G16" s="10"/>
    </row>
    <row r="17" spans="1:7" ht="41">
      <c r="A17" s="10">
        <v>13</v>
      </c>
      <c r="B17" s="11" t="s">
        <v>23</v>
      </c>
      <c r="C17" s="12">
        <v>10</v>
      </c>
      <c r="D17" s="16">
        <v>60</v>
      </c>
      <c r="E17" s="14">
        <f t="shared" si="0"/>
        <v>600</v>
      </c>
      <c r="F17" s="10">
        <v>30</v>
      </c>
      <c r="G17" s="10"/>
    </row>
    <row r="18" spans="1:7" ht="41">
      <c r="A18" s="10">
        <v>14</v>
      </c>
      <c r="B18" s="11" t="s">
        <v>24</v>
      </c>
      <c r="C18" s="12">
        <v>10</v>
      </c>
      <c r="D18" s="19">
        <v>150</v>
      </c>
      <c r="E18" s="14">
        <f t="shared" si="0"/>
        <v>1500</v>
      </c>
      <c r="F18" s="10">
        <v>30</v>
      </c>
      <c r="G18" s="10"/>
    </row>
    <row r="19" spans="1:7" ht="41">
      <c r="A19" s="10">
        <v>15</v>
      </c>
      <c r="B19" s="11" t="s">
        <v>25</v>
      </c>
      <c r="C19" s="12">
        <v>10</v>
      </c>
      <c r="D19" s="19">
        <v>250</v>
      </c>
      <c r="E19" s="14">
        <f t="shared" si="0"/>
        <v>2500</v>
      </c>
      <c r="F19" s="10">
        <v>30</v>
      </c>
      <c r="G19" s="3"/>
    </row>
    <row r="20" spans="1:7">
      <c r="A20" s="10">
        <v>16</v>
      </c>
      <c r="B20" s="11" t="s">
        <v>26</v>
      </c>
      <c r="C20" s="17">
        <v>60</v>
      </c>
      <c r="D20" s="13">
        <v>40</v>
      </c>
      <c r="E20" s="14">
        <f t="shared" si="0"/>
        <v>2400</v>
      </c>
      <c r="F20" s="10">
        <v>30</v>
      </c>
      <c r="G20" s="3"/>
    </row>
    <row r="21" spans="1:7">
      <c r="A21" s="10">
        <v>17</v>
      </c>
      <c r="B21" s="11" t="s">
        <v>27</v>
      </c>
      <c r="C21" s="17">
        <v>60</v>
      </c>
      <c r="D21" s="16">
        <v>90</v>
      </c>
      <c r="E21" s="14">
        <f t="shared" si="0"/>
        <v>5400</v>
      </c>
      <c r="F21" s="10">
        <v>30</v>
      </c>
      <c r="G21" s="3"/>
    </row>
    <row r="22" spans="1:7" ht="23">
      <c r="A22" s="2"/>
      <c r="B22" s="21" t="s">
        <v>6</v>
      </c>
      <c r="C22" s="2"/>
      <c r="D22" s="2"/>
      <c r="E22" s="22">
        <f>SUM(E5:E21)</f>
        <v>26800</v>
      </c>
      <c r="F22" s="2"/>
      <c r="G22" s="2"/>
    </row>
    <row r="23" spans="1:7" ht="24.5">
      <c r="A23" s="2"/>
      <c r="B23" s="21" t="s">
        <v>34</v>
      </c>
      <c r="C23" s="2"/>
      <c r="D23" s="2"/>
      <c r="E23" s="23">
        <f>E22*7%</f>
        <v>1876.0000000000002</v>
      </c>
      <c r="F23" s="2"/>
      <c r="G23" s="2"/>
    </row>
    <row r="24" spans="1:7" ht="24.5">
      <c r="A24" s="2"/>
      <c r="B24" s="20" t="s">
        <v>35</v>
      </c>
      <c r="C24" s="2"/>
      <c r="D24" s="2"/>
      <c r="E24" s="24">
        <f>SUM(E22:E23)</f>
        <v>28676</v>
      </c>
      <c r="F24" s="2"/>
      <c r="G24" s="2"/>
    </row>
    <row r="25" spans="1:7" ht="24.5">
      <c r="A25" s="2"/>
      <c r="B25" s="20"/>
      <c r="C25" s="2"/>
      <c r="D25" s="2"/>
      <c r="E25" s="24"/>
      <c r="F25" s="2"/>
      <c r="G25" s="2"/>
    </row>
    <row r="26" spans="1:7" ht="24">
      <c r="A26" s="2"/>
      <c r="B26" s="25" t="s">
        <v>36</v>
      </c>
      <c r="C26" s="210" t="str">
        <f>BAHTTEXT(E24)</f>
        <v>สองหมื่นแปดพันหกร้อยเจ็ดสิบหกบาทถ้วน</v>
      </c>
      <c r="D26" s="210"/>
      <c r="E26" s="210"/>
      <c r="F26" s="210"/>
      <c r="G26" s="2"/>
    </row>
  </sheetData>
  <mergeCells count="6">
    <mergeCell ref="C26:F26"/>
    <mergeCell ref="D2:E2"/>
    <mergeCell ref="A2:A4"/>
    <mergeCell ref="B2:B4"/>
    <mergeCell ref="C2:C4"/>
    <mergeCell ref="F2:F4"/>
  </mergeCells>
  <pageMargins left="0.7" right="0.7" top="0.75" bottom="0.75" header="0.3" footer="0.3"/>
  <pageSetup paperSize="9" orientation="portrait" r:id="rId1"/>
  <drawing r:id="rId2"/>
</worksheet>
</file>

<file path=docMetadata/LabelInfo.xml><?xml version="1.0" encoding="utf-8"?>
<clbl:labelList xmlns:clbl="http://schemas.microsoft.com/office/2020/mipLabelMetadata">
  <clbl:label id="{353f86ff-bbc3-4a83-bcc4-920535c0b83f}" enabled="1" method="Standard" siteId="{dbf170fd-2115-452e-8c9d-43c7495ef3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99</vt:i4>
      </vt:variant>
    </vt:vector>
  </HeadingPairs>
  <TitlesOfParts>
    <vt:vector size="99" baseType="lpstr">
      <vt:lpstr>DDT_วัสดุ</vt:lpstr>
      <vt:lpstr>วัสดุการสอน</vt:lpstr>
      <vt:lpstr>วัสดุเก็บงาน นศ.</vt:lpstr>
      <vt:lpstr>วัสดุฝึกนักศึกษา_ฟิสิกส์</vt:lpstr>
      <vt:lpstr>เช่ารถตู้ จ.สิงห์บุรี</vt:lpstr>
      <vt:lpstr>วัสดุ เกี่ยวกับ AI</vt:lpstr>
      <vt:lpstr>วัสดุ (ไฟฟ้า)</vt:lpstr>
      <vt:lpstr>เช่ารถบัส_จ.เพชรบุรี</vt:lpstr>
      <vt:lpstr>วัสดุฝึกนักศึกษา วค.</vt:lpstr>
      <vt:lpstr>DDT_วัสดุการศึกษา</vt:lpstr>
      <vt:lpstr>เช่ารถตู้_บ้านโซวเฮงไถ่</vt:lpstr>
      <vt:lpstr>เช่ารถตู้_กรมส่งเสริมวัฒนธรรม</vt:lpstr>
      <vt:lpstr>เช่ารถบัส+รถตู้_วค._ต้นนา</vt:lpstr>
      <vt:lpstr>เช่ารถบัส_เตรียมความพร้อม 1-69</vt:lpstr>
      <vt:lpstr>DDT แสดงผลงาน (2)</vt:lpstr>
      <vt:lpstr>DDT แสดงผลงาน</vt:lpstr>
      <vt:lpstr>วัสดุฝึกนักศึกษา</vt:lpstr>
      <vt:lpstr>จ้างเหมาติดตั้งปูพรม</vt:lpstr>
      <vt:lpstr>จ้างพิมพ์ผ้า</vt:lpstr>
      <vt:lpstr>เช่ารถขนของ Central Word</vt:lpstr>
      <vt:lpstr>เช่ารถตู้ สจด.-ศูนย์ราชการฯ C</vt:lpstr>
      <vt:lpstr>HDD</vt:lpstr>
      <vt:lpstr>วัสดุ_วค.69_IOT</vt:lpstr>
      <vt:lpstr>วัสดุ_วค.68 (2)</vt:lpstr>
      <vt:lpstr>วัสดุ_วค.68</vt:lpstr>
      <vt:lpstr>เช่ารถตู้ สจด.-จปร.</vt:lpstr>
      <vt:lpstr>จ้างทำชุดโครงสร้างบูธ</vt:lpstr>
      <vt:lpstr>TESA 2025</vt:lpstr>
      <vt:lpstr>OpenHouse_CPE</vt:lpstr>
      <vt:lpstr>OpenHouse_DDT</vt:lpstr>
      <vt:lpstr>LoRaWAN</vt:lpstr>
      <vt:lpstr>Gateway5000</vt:lpstr>
      <vt:lpstr>เช่ารถตู้ กทม.-เพชรบุรี</vt:lpstr>
      <vt:lpstr>IoT_V.2</vt:lpstr>
      <vt:lpstr>วัสดุปรับปรุง หอประชุม ต.ทองเอน</vt:lpstr>
      <vt:lpstr>เช่ารถตู้ สิงห์บุรี</vt:lpstr>
      <vt:lpstr>IoT_1_68</vt:lpstr>
      <vt:lpstr>Network_1_68</vt:lpstr>
      <vt:lpstr>เช่ารถบัส_เตรียมความพร้อม</vt:lpstr>
      <vt:lpstr>วัสดุ_1_68_2</vt:lpstr>
      <vt:lpstr>วัสดุ_1_68_1</vt:lpstr>
      <vt:lpstr>อนันตโชติ</vt:lpstr>
      <vt:lpstr>วัสดุ_CPE</vt:lpstr>
      <vt:lpstr>ชมรม หุ่นยนต์</vt:lpstr>
      <vt:lpstr>คิดเลข</vt:lpstr>
      <vt:lpstr>วัสดุฝึก_อบ.</vt:lpstr>
      <vt:lpstr>วัสดพิตรพิบูล</vt:lpstr>
      <vt:lpstr>วัสดุอรพรรณ</vt:lpstr>
      <vt:lpstr>จ้างพิมพ์งาน-ประกวด (2)</vt:lpstr>
      <vt:lpstr>วัสดุฝึกประกวด</vt:lpstr>
      <vt:lpstr>วัสดุ อบ.</vt:lpstr>
      <vt:lpstr>ธีรภัทร</vt:lpstr>
      <vt:lpstr>ฐิติภัทร์</vt:lpstr>
      <vt:lpstr>i350</vt:lpstr>
      <vt:lpstr>Rasberry Pi (2)</vt:lpstr>
      <vt:lpstr>เช่ารถตู้ TESA</vt:lpstr>
      <vt:lpstr>วัสดุ CPE (3)</vt:lpstr>
      <vt:lpstr>เช่ารถบัส_เปิดโลกทัศน์</vt:lpstr>
      <vt:lpstr>โต๊ะแล็ป (3)</vt:lpstr>
      <vt:lpstr>โต๊ะแล็ป (2)</vt:lpstr>
      <vt:lpstr>โต๊ะแล็ป</vt:lpstr>
      <vt:lpstr>วัสดุ IT (2)</vt:lpstr>
      <vt:lpstr>วัสดุ IT</vt:lpstr>
      <vt:lpstr>กาวลาเท็กซ์</vt:lpstr>
      <vt:lpstr>Rasberry Pi</vt:lpstr>
      <vt:lpstr>อะซิโครนัส</vt:lpstr>
      <vt:lpstr>เตรียมความพร้อม_DDT</vt:lpstr>
      <vt:lpstr>เช่ารถตู้_สิงห์บุรี (2)</vt:lpstr>
      <vt:lpstr>ทองเอน 2</vt:lpstr>
      <vt:lpstr>ทองเอน 1</vt:lpstr>
      <vt:lpstr>DDT_2567</vt:lpstr>
      <vt:lpstr>WAN Interface</vt:lpstr>
      <vt:lpstr>เช่ารถตู้_สิงห์บุรี</vt:lpstr>
      <vt:lpstr>ไม้ก๊อก 2</vt:lpstr>
      <vt:lpstr>เช่ารถบัส_สัมมนาวิศวกรรมคอม (2)</vt:lpstr>
      <vt:lpstr>รายวิชา สถิติคณิตศาสตร์</vt:lpstr>
      <vt:lpstr>กิติตคุณ_2</vt:lpstr>
      <vt:lpstr>เช่ารถบัส_สัมมนาวิศวกรรมคอมพิวเ</vt:lpstr>
      <vt:lpstr>วัสดุการศึกษา 2-66_1</vt:lpstr>
      <vt:lpstr>ห้อง Lab Computer</vt:lpstr>
      <vt:lpstr>วัสดุการเรียนการสอน_วค.-2</vt:lpstr>
      <vt:lpstr>วัสดุการเรียนการสอน_วค.-1</vt:lpstr>
      <vt:lpstr>ครุภัณฑ์จัดเก็บอุปกรณ์</vt:lpstr>
      <vt:lpstr>วัสดุ_ออบแบบ</vt:lpstr>
      <vt:lpstr>เช่ารถบัส_รัตนโกสินทร์</vt:lpstr>
      <vt:lpstr>แผงวงจร</vt:lpstr>
      <vt:lpstr>37 Sensor</vt:lpstr>
      <vt:lpstr>Access Point</vt:lpstr>
      <vt:lpstr>cucamber</vt:lpstr>
      <vt:lpstr>HDMI</vt:lpstr>
      <vt:lpstr>จ้างทำแผ่นพับ</vt:lpstr>
      <vt:lpstr>จ้างเหมาการจัดการเรียนการสอนฯ</vt:lpstr>
      <vt:lpstr>วัสดุอุปกรณ์_IT</vt:lpstr>
      <vt:lpstr>วัสดุการศึกษา_หุ่นปั้น</vt:lpstr>
      <vt:lpstr>เช่ารถบัส</vt:lpstr>
      <vt:lpstr>เม้าส์</vt:lpstr>
      <vt:lpstr>อบรมความปลอดภัยไซเบอร์</vt:lpstr>
      <vt:lpstr>ลอจิก</vt:lpstr>
      <vt:lpstr>ต้นฉบับ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Oratai Kruathongsri</dc:creator>
  <cp:lastModifiedBy>Oratai Kruathongsri</cp:lastModifiedBy>
  <cp:lastPrinted>2025-02-11T01:44:09Z</cp:lastPrinted>
  <dcterms:created xsi:type="dcterms:W3CDTF">2022-07-31T11:44:24Z</dcterms:created>
  <dcterms:modified xsi:type="dcterms:W3CDTF">2026-07-09T05:46:54Z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3f86ff-bbc3-4a83-bcc4-920535c0b83f_Enabled">
    <vt:lpwstr>true</vt:lpwstr>
  </property>
  <property fmtid="{D5CDD505-2E9C-101B-9397-08002B2CF9AE}" pid="3" name="MSIP_Label_353f86ff-bbc3-4a83-bcc4-920535c0b83f_SetDate">
    <vt:lpwstr>2026-01-06T06:41:49Z</vt:lpwstr>
  </property>
  <property fmtid="{D5CDD505-2E9C-101B-9397-08002B2CF9AE}" pid="4" name="MSIP_Label_353f86ff-bbc3-4a83-bcc4-920535c0b83f_Method">
    <vt:lpwstr>Standard</vt:lpwstr>
  </property>
  <property fmtid="{D5CDD505-2E9C-101B-9397-08002B2CF9AE}" pid="5" name="MSIP_Label_353f86ff-bbc3-4a83-bcc4-920535c0b83f_Name">
    <vt:lpwstr>สาธารณะ</vt:lpwstr>
  </property>
  <property fmtid="{D5CDD505-2E9C-101B-9397-08002B2CF9AE}" pid="6" name="MSIP_Label_353f86ff-bbc3-4a83-bcc4-920535c0b83f_SiteId">
    <vt:lpwstr>dbf170fd-2115-452e-8c9d-43c7495ef306</vt:lpwstr>
  </property>
  <property fmtid="{D5CDD505-2E9C-101B-9397-08002B2CF9AE}" pid="7" name="MSIP_Label_353f86ff-bbc3-4a83-bcc4-920535c0b83f_ActionId">
    <vt:lpwstr>acd6a4a0-996e-4640-8c06-0cc661a417f4</vt:lpwstr>
  </property>
  <property fmtid="{D5CDD505-2E9C-101B-9397-08002B2CF9AE}" pid="8" name="MSIP_Label_353f86ff-bbc3-4a83-bcc4-920535c0b83f_ContentBits">
    <vt:lpwstr>0</vt:lpwstr>
  </property>
  <property fmtid="{D5CDD505-2E9C-101B-9397-08002B2CF9AE}" pid="9" name="MSIP_Label_353f86ff-bbc3-4a83-bcc4-920535c0b83f_Tag">
    <vt:lpwstr>10, 3, 0, 1</vt:lpwstr>
  </property>
</Properties>
</file>